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0"/>
  <workbookPr/>
  <xr:revisionPtr revIDLastSave="1" documentId="11_7C7FFECEF5A525DA78E882C48832EABD059C3764" xr6:coauthVersionLast="47" xr6:coauthVersionMax="47" xr10:uidLastSave="{36D4C889-F674-46D5-ACCB-C2EE154FA446}"/>
  <bookViews>
    <workbookView xWindow="0" yWindow="0" windowWidth="0" windowHeight="0" activeTab="4" xr2:uid="{00000000-000D-0000-FFFF-FFFF00000000}"/>
  </bookViews>
  <sheets>
    <sheet name="6061-T6 Tank Specs" sheetId="1" r:id="rId1"/>
    <sheet name="O-Ring (2-340) Parameters" sheetId="2" r:id="rId2"/>
    <sheet name="O-Ring (2-236) Parameters" sheetId="3" r:id="rId3"/>
    <sheet name="O-Ring (2-253) Parameters" sheetId="4" state="hidden" r:id="rId4"/>
    <sheet name="Bolt Circle Calculations" sheetId="5" r:id="rId5"/>
    <sheet name="Final Calculations" sheetId="6" state="hidden" r:id="rId6"/>
  </sheets>
  <externalReferences>
    <externalReference r:id="rId7"/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6" l="1"/>
  <c r="D52" i="6"/>
  <c r="B5" i="6"/>
  <c r="C34" i="6"/>
  <c r="C52" i="6"/>
  <c r="C54" i="6"/>
  <c r="D54" i="6"/>
  <c r="C57" i="6"/>
  <c r="B8" i="6"/>
  <c r="B34" i="6"/>
  <c r="B52" i="6"/>
  <c r="B54" i="6"/>
  <c r="C8" i="6"/>
  <c r="E34" i="6"/>
  <c r="E52" i="6"/>
  <c r="E54" i="6"/>
  <c r="F34" i="6"/>
  <c r="F52" i="6"/>
  <c r="F54" i="6"/>
  <c r="E60" i="6"/>
  <c r="E62" i="6"/>
  <c r="E65" i="6"/>
  <c r="D57" i="6"/>
  <c r="D60" i="6"/>
  <c r="D62" i="6"/>
  <c r="D65" i="6"/>
  <c r="C60" i="6"/>
  <c r="C62" i="6"/>
  <c r="C65" i="6"/>
  <c r="B60" i="6"/>
  <c r="B62" i="6"/>
  <c r="B65" i="6"/>
  <c r="B57" i="6"/>
  <c r="D34" i="6"/>
  <c r="G34" i="6"/>
  <c r="G52" i="6"/>
  <c r="G54" i="6"/>
  <c r="B36" i="6"/>
  <c r="C36" i="6"/>
  <c r="D36" i="6"/>
  <c r="B39" i="6"/>
  <c r="G36" i="6"/>
  <c r="C39" i="6"/>
  <c r="D39" i="6"/>
  <c r="E36" i="6"/>
  <c r="F36" i="6"/>
  <c r="C42" i="6"/>
  <c r="C44" i="6"/>
  <c r="C47" i="6"/>
  <c r="B42" i="6"/>
  <c r="B44" i="6"/>
  <c r="B47" i="6"/>
  <c r="E39" i="6"/>
  <c r="F5" i="6"/>
  <c r="H5" i="6"/>
  <c r="I5" i="6"/>
  <c r="F26" i="6"/>
  <c r="F29" i="6"/>
  <c r="E26" i="6"/>
  <c r="E29" i="6"/>
  <c r="D26" i="6"/>
  <c r="D29" i="6"/>
  <c r="C26" i="6"/>
  <c r="B26" i="6"/>
  <c r="F19" i="6"/>
  <c r="F22" i="6"/>
  <c r="E19" i="6"/>
  <c r="E22" i="6"/>
  <c r="D19" i="6"/>
  <c r="D22" i="6"/>
  <c r="C19" i="6"/>
  <c r="B19" i="6"/>
  <c r="D5" i="6"/>
  <c r="B12" i="6"/>
  <c r="C12" i="6"/>
  <c r="C15" i="6"/>
  <c r="B15" i="6"/>
  <c r="N3" i="6"/>
  <c r="N2" i="6"/>
  <c r="G5" i="6"/>
  <c r="O3" i="6"/>
  <c r="O2" i="6"/>
  <c r="N10" i="6"/>
  <c r="O10" i="6"/>
  <c r="F8" i="6"/>
  <c r="O6" i="6"/>
  <c r="N6" i="6"/>
  <c r="P5" i="6"/>
  <c r="C5" i="5"/>
  <c r="B5" i="5"/>
  <c r="D5" i="5"/>
  <c r="B8" i="5"/>
  <c r="H20" i="5"/>
  <c r="I20" i="5"/>
  <c r="C20" i="5"/>
  <c r="F20" i="5"/>
  <c r="G20" i="5"/>
  <c r="D20" i="5"/>
  <c r="E20" i="5"/>
  <c r="C17" i="5"/>
  <c r="D17" i="5"/>
  <c r="H17" i="5"/>
  <c r="I17" i="5"/>
  <c r="E17" i="5"/>
  <c r="F17" i="5"/>
  <c r="G17" i="5"/>
  <c r="C14" i="5"/>
  <c r="E14" i="5"/>
  <c r="D14" i="5"/>
  <c r="H14" i="5"/>
  <c r="I14" i="5"/>
  <c r="F14" i="5"/>
  <c r="G14" i="5"/>
  <c r="C11" i="5"/>
  <c r="D11" i="5"/>
  <c r="E11" i="5"/>
  <c r="H11" i="5"/>
  <c r="I11" i="5"/>
  <c r="F11" i="5"/>
  <c r="G11" i="5"/>
  <c r="D8" i="5"/>
  <c r="E8" i="5"/>
  <c r="H12" i="4"/>
  <c r="F12" i="4"/>
  <c r="E12" i="4"/>
  <c r="D12" i="4"/>
  <c r="C12" i="4"/>
  <c r="O5" i="4"/>
  <c r="Q8" i="4"/>
  <c r="P5" i="4"/>
  <c r="Q5" i="4"/>
  <c r="O8" i="4"/>
  <c r="M8" i="4"/>
  <c r="P8" i="4"/>
  <c r="N8" i="4"/>
  <c r="F5" i="4"/>
  <c r="C8" i="4"/>
  <c r="D8" i="4"/>
  <c r="E8" i="4"/>
  <c r="H8" i="4"/>
  <c r="B8" i="4"/>
  <c r="C5" i="4"/>
  <c r="G8" i="4"/>
  <c r="E5" i="4"/>
  <c r="F8" i="4"/>
  <c r="H12" i="3"/>
  <c r="F12" i="3"/>
  <c r="E12" i="3"/>
  <c r="D12" i="3"/>
  <c r="C12" i="3"/>
  <c r="F5" i="3"/>
  <c r="C8" i="3"/>
  <c r="D8" i="3"/>
  <c r="E8" i="3"/>
  <c r="H8" i="3"/>
  <c r="B8" i="3"/>
  <c r="C5" i="3"/>
  <c r="G8" i="3"/>
  <c r="E5" i="3"/>
  <c r="F8" i="3"/>
  <c r="H12" i="2"/>
  <c r="F12" i="2"/>
  <c r="E12" i="2"/>
  <c r="D12" i="2"/>
  <c r="C12" i="2"/>
  <c r="F5" i="2"/>
  <c r="C8" i="2"/>
  <c r="D8" i="2"/>
  <c r="E8" i="2"/>
  <c r="H8" i="2"/>
  <c r="B8" i="2"/>
  <c r="C5" i="2"/>
  <c r="G8" i="2"/>
  <c r="E5" i="2"/>
  <c r="F8" i="2"/>
  <c r="H19" i="1"/>
  <c r="H12" i="1"/>
  <c r="E5" i="1"/>
  <c r="D8" i="1"/>
  <c r="G5" i="1"/>
  <c r="E8" i="1"/>
  <c r="F12" i="1"/>
  <c r="G12" i="1"/>
  <c r="B8" i="1"/>
  <c r="C12" i="1"/>
  <c r="D12" i="1"/>
  <c r="H8" i="1"/>
  <c r="F8" i="1"/>
  <c r="C8" i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tc={1339e270-ead8-41a0-9920-5b5830d0c602}</author>
  </authors>
  <commentList>
    <comment ref="I8" authorId="0" shapeId="0" xr:uid="{1339E270-EAD8-41A0-9920-5B5830D0C60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so close to recommended max of 85% that I'm keeping it; otherwise use 1 backup ring</t>
      </text>
    </comment>
  </commentList>
</comments>
</file>

<file path=xl/sharedStrings.xml><?xml version="1.0" encoding="utf-8"?>
<sst xmlns="http://schemas.openxmlformats.org/spreadsheetml/2006/main" count="301" uniqueCount="164">
  <si>
    <t>Store Bought T6-6061 Alumimum Tube</t>
  </si>
  <si>
    <t>This Portion calculates the Factor of Saftey for a commercially available Aluminum tube as the basis for the TEZ fuel tanks</t>
  </si>
  <si>
    <t>Outer Diameter 
(d_o) [in]</t>
  </si>
  <si>
    <t>Thickness 
(t) [in]</t>
  </si>
  <si>
    <t>Yield Strength 
(Sigma_y) [psi]</t>
  </si>
  <si>
    <t>Allowable Stress
(S) [psi] (ASME)</t>
  </si>
  <si>
    <t>Radius
(r) [in]</t>
  </si>
  <si>
    <t>Mean Radius
(r_m) [in]</t>
  </si>
  <si>
    <t>Internal Operating Pressure
(P) [psi]</t>
  </si>
  <si>
    <t>Hoop Stress
(Sigma_h) [psi]</t>
  </si>
  <si>
    <t>Axial Stress
(Tau_a) [psi]</t>
  </si>
  <si>
    <t>Burst Pressure</t>
  </si>
  <si>
    <t>Burst Hoop Stress
(Sigma_h) [psi]</t>
  </si>
  <si>
    <t>Burst Axial Stress
(Tau_a) [psi]</t>
  </si>
  <si>
    <t>Desired Bulkhead FOS</t>
  </si>
  <si>
    <t>Bulkhead stress [psi]</t>
  </si>
  <si>
    <t>At MEOP                  --&gt;</t>
  </si>
  <si>
    <t xml:space="preserve">FOS (ASME)
</t>
  </si>
  <si>
    <t>FOS (ASME)
(Corrected)</t>
  </si>
  <si>
    <t>At burst pressure (2.78x MEOP) --&gt;</t>
  </si>
  <si>
    <t>FOS (ASME)</t>
  </si>
  <si>
    <t>FOS (ASME Corrected)</t>
  </si>
  <si>
    <t>Min. Bulkhead Thickness [in]</t>
  </si>
  <si>
    <r>
      <rPr>
        <b/>
        <sz val="10"/>
        <color theme="1"/>
        <rFont val="Arial"/>
      </rPr>
      <t>Note:</t>
    </r>
    <r>
      <rPr>
        <sz val="10"/>
        <color theme="1"/>
        <rFont val="Arial"/>
      </rPr>
      <t xml:space="preserve"> Old ASME specifications typically defunct, use Corrected values</t>
    </r>
  </si>
  <si>
    <t>Links</t>
  </si>
  <si>
    <t>Tube</t>
  </si>
  <si>
    <t>here</t>
  </si>
  <si>
    <t>Material Sheet:</t>
  </si>
  <si>
    <r>
      <rPr>
        <u/>
        <sz val="10"/>
        <color rgb="FF1155CC"/>
        <rFont val="Arial"/>
      </rPr>
      <t>here</t>
    </r>
    <r>
      <rPr>
        <sz val="10"/>
        <color rgb="FF1F1F1F"/>
        <rFont val="Arial"/>
      </rPr>
      <t xml:space="preserve"> </t>
    </r>
  </si>
  <si>
    <t>MMPDS Sheet:</t>
  </si>
  <si>
    <t>Bore Diameter (d9) [in]</t>
  </si>
  <si>
    <t>O-ring OD [in]</t>
  </si>
  <si>
    <t>O-ring ID (d1) [in]</t>
  </si>
  <si>
    <t>Backup O-ring Area</t>
  </si>
  <si>
    <t>O-ring Width [in]</t>
  </si>
  <si>
    <t>O-ring Area [in^2]</t>
  </si>
  <si>
    <t>Number of Backup Rings</t>
  </si>
  <si>
    <t>Calculating parameters --&gt;</t>
  </si>
  <si>
    <t>Groove Diameter [in]</t>
  </si>
  <si>
    <t>Chamber Width (to tank wall) [in]</t>
  </si>
  <si>
    <t>Gland Width (b) [in]</t>
  </si>
  <si>
    <t>Gland Area [in^2]</t>
  </si>
  <si>
    <t>Squeeze (%)</t>
  </si>
  <si>
    <t>Stretch (%)</t>
  </si>
  <si>
    <t>Gland Fill (%)</t>
  </si>
  <si>
    <t>From Paker handbook:</t>
  </si>
  <si>
    <t>Dash Number</t>
  </si>
  <si>
    <t>ID (d1)</t>
  </si>
  <si>
    <t>O-ring Width (d2)</t>
  </si>
  <si>
    <t>Groove Width (0 BURs) (b1)</t>
  </si>
  <si>
    <t>Bore Diameter (d4/d9)</t>
  </si>
  <si>
    <t>Groove Diameter (d3)</t>
  </si>
  <si>
    <t>(metric) --&gt;</t>
  </si>
  <si>
    <t>2-340</t>
  </si>
  <si>
    <t>(imperial) --&gt;</t>
  </si>
  <si>
    <t>Tolerances: (in)</t>
  </si>
  <si>
    <t>MAX (+)</t>
  </si>
  <si>
    <t>MIN (-)</t>
  </si>
  <si>
    <r>
      <t xml:space="preserve">Tolerances found </t>
    </r>
    <r>
      <rPr>
        <u/>
        <sz val="10"/>
        <color rgb="FF1155CC"/>
        <rFont val="Arial"/>
      </rPr>
      <t>here</t>
    </r>
  </si>
  <si>
    <t>ISO tolerances:</t>
  </si>
  <si>
    <t>H8</t>
  </si>
  <si>
    <t>f7</t>
  </si>
  <si>
    <t>h9</t>
  </si>
  <si>
    <t>(direct from handbook) --&gt;</t>
  </si>
  <si>
    <t>Links:</t>
  </si>
  <si>
    <r>
      <t xml:space="preserve">431 O-rings | McMaster-Carr #9452K418 </t>
    </r>
    <r>
      <rPr>
        <u/>
        <sz val="10"/>
        <color rgb="FF1155CC"/>
        <rFont val="Arial"/>
      </rPr>
      <t>link</t>
    </r>
  </si>
  <si>
    <t>Spacing Notes</t>
  </si>
  <si>
    <t>Space between o-rings should be 1-1.5x the diameter of the o-rings and no less than 1 mm</t>
  </si>
  <si>
    <t>Lip width (distance from end of bulkhead to first o-ring) should be equal or greater than the groove width</t>
  </si>
  <si>
    <t>&lt;&lt;</t>
  </si>
  <si>
    <t>2-236</t>
  </si>
  <si>
    <t>O-ring OD</t>
  </si>
  <si>
    <t>O-ring ID</t>
  </si>
  <si>
    <t>Width of o-ring</t>
  </si>
  <si>
    <t>Area of o-ring</t>
  </si>
  <si>
    <t>Width of Chamber (Groove diameter to wall)</t>
  </si>
  <si>
    <t>Groove Diameter</t>
  </si>
  <si>
    <t>Gland Area</t>
  </si>
  <si>
    <t>Gland Width</t>
  </si>
  <si>
    <t>&lt;-- must be greater than</t>
  </si>
  <si>
    <t>2-253</t>
  </si>
  <si>
    <r>
      <t xml:space="preserve">358 O-rings | McMaster-Carr #9452K514 </t>
    </r>
    <r>
      <rPr>
        <u/>
        <sz val="10"/>
        <color rgb="FF1155CC"/>
        <rFont val="Arial"/>
      </rPr>
      <t>link</t>
    </r>
  </si>
  <si>
    <t>Bulkhead Mounting Screw Calculations</t>
  </si>
  <si>
    <t>Inner casing diameter [in]</t>
  </si>
  <si>
    <t>Thickness [in]</t>
  </si>
  <si>
    <t>Operating pressure [psi]</t>
  </si>
  <si>
    <t>Number of bolts</t>
  </si>
  <si>
    <t>Bearing Yield Strength [psi]</t>
  </si>
  <si>
    <t>Shear Strength [psi]</t>
  </si>
  <si>
    <t>Ultimate Tensile Strength [psi]</t>
  </si>
  <si>
    <t>Yield Tensile Strength [psi]</t>
  </si>
  <si>
    <t>Bolt Force</t>
  </si>
  <si>
    <t>Tear-out FOS</t>
  </si>
  <si>
    <t>Tear-out Stress [psi]</t>
  </si>
  <si>
    <t>Distance from end to bolt edge (Emin) [in]</t>
  </si>
  <si>
    <t>Bolt TPI (UNF)</t>
  </si>
  <si>
    <t>Bearing FOS</t>
  </si>
  <si>
    <t>Bearing Stress [psi]</t>
  </si>
  <si>
    <t>Major bolt diameter [in]</t>
  </si>
  <si>
    <t>Minor bolt diameter [in]</t>
  </si>
  <si>
    <t>Tensile stress [psi]</t>
  </si>
  <si>
    <t>Tensile FOS</t>
  </si>
  <si>
    <t>Bolt shear stress [psi]</t>
  </si>
  <si>
    <t>Bolt shear FOS</t>
  </si>
  <si>
    <t>Governing Force --&gt;</t>
  </si>
  <si>
    <t>Button Head Hex-Drive Screws: 1/2"-20 size | 1" length</t>
  </si>
  <si>
    <t>P-List (McMaster)</t>
  </si>
  <si>
    <t>Stainless Steel Button Head Hex-Drive Screws</t>
  </si>
  <si>
    <t>link</t>
  </si>
  <si>
    <t>Final Calculations</t>
  </si>
  <si>
    <t>Associated Equations</t>
  </si>
  <si>
    <t>Geometric Parameters</t>
  </si>
  <si>
    <t>Cylinder Thickness
(t_c) [in]</t>
  </si>
  <si>
    <t>Mean Cyl Radius
(t_mc)</t>
  </si>
  <si>
    <t>Dome Thickness 
(t_d) [in]</t>
  </si>
  <si>
    <t>Mean Diameter
(r_m) [in]</t>
  </si>
  <si>
    <t>Inner Diameter
(d_i) [in]</t>
  </si>
  <si>
    <t>Semi-Major Axis
(a) [in]</t>
  </si>
  <si>
    <t>Semi-Minor Axis
(b) [in]</t>
  </si>
  <si>
    <t>E</t>
  </si>
  <si>
    <t>I</t>
  </si>
  <si>
    <t>Given Parameters</t>
  </si>
  <si>
    <t>Internal Pressure
(P) [psi]</t>
  </si>
  <si>
    <t>Shear Strength
(Tau_y) [psi]</t>
  </si>
  <si>
    <t>Weld Efficiency
(E)</t>
  </si>
  <si>
    <t>Shape Factor
(K)</t>
  </si>
  <si>
    <t>Cylindrical Wall Calculations</t>
  </si>
  <si>
    <t>FOS</t>
  </si>
  <si>
    <t xml:space="preserve">FOS </t>
  </si>
  <si>
    <t>Eliptical Dome - Crown</t>
  </si>
  <si>
    <t>R of Curvature
(r_1c) [in]</t>
  </si>
  <si>
    <t>R of Somthing
(r_2c) [in]</t>
  </si>
  <si>
    <t>Meridional Stress
(Sig_1c) [psi]</t>
  </si>
  <si>
    <t>Hoop Stress
(Sig_2c) [psi]</t>
  </si>
  <si>
    <t>Max Shear
(Tau_c) [psi]</t>
  </si>
  <si>
    <t>Eliptical Dome - Equator</t>
  </si>
  <si>
    <t>R of Curvature
(r_1e) [in]</t>
  </si>
  <si>
    <t>R of Somthing
(r_2e) [in]</t>
  </si>
  <si>
    <t>Meridional Stress
(Sig_1e) [psi]</t>
  </si>
  <si>
    <t>Hoop Stress
(Sig_2e) [psi]</t>
  </si>
  <si>
    <t>Max Shear
(Tau_e) [psi]</t>
  </si>
  <si>
    <t>ASME Claculator Inputs for Eliptical Tank Domes- For Fun/Double Check</t>
  </si>
  <si>
    <t>Decided Thickness 
(t) [in]</t>
  </si>
  <si>
    <t>Allowable Stress 
(S) [psi]</t>
  </si>
  <si>
    <t>Inner Hight
(h) [in]</t>
  </si>
  <si>
    <t>Internal Pressure
(P) (N/mm^2)</t>
  </si>
  <si>
    <t>Outer Diameter 
(d_o) (mm)</t>
  </si>
  <si>
    <t>Decided Thickness 
(t) (mm)</t>
  </si>
  <si>
    <t>Allowable Stress 
(S) (N/mm^2)</t>
  </si>
  <si>
    <t>Inner Hight
(h) (mm)</t>
  </si>
  <si>
    <t>Inner Diameter
(d_i) (mm)</t>
  </si>
  <si>
    <t>diameter/height ratio
(d_i/2h)</t>
  </si>
  <si>
    <t>Shape Factor 1
(K1)</t>
  </si>
  <si>
    <t>Required Thickness
(t_req1) (mm)</t>
  </si>
  <si>
    <t>Required Thickness
(t_req2) (mm)</t>
  </si>
  <si>
    <t>Required Thickness
(t_req1) [in]</t>
  </si>
  <si>
    <t>Required Thickness
(t_req2) [in]</t>
  </si>
  <si>
    <t>ASME Claculator Inputs for Cylindrical Pressure Vessel - For Fun/Double Check</t>
  </si>
  <si>
    <t>diameter/height ratio
(r_i) (mm)</t>
  </si>
  <si>
    <t>Outer Radius
(r_o) (mm)</t>
  </si>
  <si>
    <t>Required Thickness
(t_req3) (mm)</t>
  </si>
  <si>
    <t>Required Thickness
(t_req4) (mm)</t>
  </si>
  <si>
    <t>Required Thickness
(t_req3) [in]</t>
  </si>
  <si>
    <t>Required Thickness
(t_req4) [in]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</si>
</sst>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1"/>
      <color rgb="FF000000"/>
      <name val="Arial"/>
    </font>
    <font>
      <b/>
      <i/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sz val="10"/>
      <color rgb="FF000000"/>
      <name val="Arial"/>
    </font>
    <font>
      <b/>
      <sz val="10"/>
      <color rgb="FFFFFFFF"/>
      <name val="Arial"/>
      <scheme val="minor"/>
    </font>
    <font>
      <b/>
      <sz val="10"/>
      <color rgb="FF000000"/>
      <name val="Arial"/>
      <scheme val="minor"/>
    </font>
    <font>
      <sz val="10"/>
      <color rgb="FF464444"/>
      <name val="Arial"/>
    </font>
    <font>
      <b/>
      <sz val="10"/>
      <color theme="1"/>
      <name val="Arial"/>
    </font>
    <font>
      <u/>
      <sz val="10"/>
      <color rgb="FF1155CC"/>
      <name val="Arial"/>
    </font>
    <font>
      <sz val="10"/>
      <color rgb="FF1F1F1F"/>
      <name val="Arial"/>
    </font>
  </fonts>
  <fills count="1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71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FF9900"/>
      </left>
      <right style="thin">
        <color rgb="FFFF9900"/>
      </right>
      <top style="thin">
        <color rgb="FFFF9900"/>
      </top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ck">
        <color rgb="FF000000"/>
      </bottom>
      <diagonal/>
    </border>
    <border>
      <left style="thin">
        <color rgb="FFFF9900"/>
      </left>
      <right style="thin">
        <color rgb="FFFF9900"/>
      </right>
      <top/>
      <bottom/>
      <diagonal/>
    </border>
    <border>
      <left style="thin">
        <color rgb="FF000000"/>
      </left>
      <right/>
      <top style="double">
        <color rgb="FF000000"/>
      </top>
      <bottom style="thick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ck">
        <color rgb="FF000000"/>
      </bottom>
      <diagonal/>
    </border>
    <border>
      <left style="thin">
        <color rgb="FFFF9900"/>
      </left>
      <right style="thin">
        <color rgb="FFFF9900"/>
      </right>
      <top/>
      <bottom style="thin">
        <color rgb="FFFF9900"/>
      </bottom>
      <diagonal/>
    </border>
    <border>
      <left/>
      <right style="thick">
        <color rgb="FF000000"/>
      </right>
      <top style="double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0" borderId="0" xfId="0" applyFont="1"/>
    <xf numFmtId="0" fontId="1" fillId="0" borderId="1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1" fillId="5" borderId="26" xfId="0" applyFont="1" applyFill="1" applyBorder="1" applyAlignment="1">
      <alignment horizontal="center" vertical="center" wrapText="1"/>
    </xf>
    <xf numFmtId="0" fontId="1" fillId="6" borderId="25" xfId="0" applyFont="1" applyFill="1" applyBorder="1" applyAlignment="1">
      <alignment horizontal="center" vertical="center" wrapText="1"/>
    </xf>
    <xf numFmtId="0" fontId="1" fillId="5" borderId="31" xfId="0" applyFont="1" applyFill="1" applyBorder="1" applyAlignment="1">
      <alignment horizontal="center" vertical="center" wrapText="1"/>
    </xf>
    <xf numFmtId="164" fontId="1" fillId="0" borderId="33" xfId="0" applyNumberFormat="1" applyFont="1" applyBorder="1" applyAlignment="1">
      <alignment horizontal="center" vertical="center" wrapText="1"/>
    </xf>
    <xf numFmtId="164" fontId="1" fillId="0" borderId="35" xfId="0" applyNumberFormat="1" applyFont="1" applyBorder="1" applyAlignment="1">
      <alignment horizontal="center" vertical="center" wrapText="1"/>
    </xf>
    <xf numFmtId="0" fontId="1" fillId="0" borderId="39" xfId="0" applyFont="1" applyBorder="1" applyAlignment="1">
      <alignment vertical="center" wrapText="1"/>
    </xf>
    <xf numFmtId="164" fontId="1" fillId="0" borderId="40" xfId="0" applyNumberFormat="1" applyFont="1" applyBorder="1" applyAlignment="1">
      <alignment horizontal="center" vertical="center" wrapText="1"/>
    </xf>
    <xf numFmtId="164" fontId="1" fillId="0" borderId="16" xfId="0" applyNumberFormat="1" applyFont="1" applyBorder="1" applyAlignment="1">
      <alignment horizontal="center" vertical="center" wrapText="1"/>
    </xf>
    <xf numFmtId="0" fontId="1" fillId="0" borderId="41" xfId="0" applyFont="1" applyBorder="1" applyAlignment="1">
      <alignment vertical="center" wrapText="1"/>
    </xf>
    <xf numFmtId="0" fontId="1" fillId="0" borderId="33" xfId="0" applyFont="1" applyBorder="1" applyAlignment="1">
      <alignment vertical="center" wrapText="1"/>
    </xf>
    <xf numFmtId="0" fontId="1" fillId="0" borderId="0" xfId="0" applyFont="1"/>
    <xf numFmtId="0" fontId="1" fillId="0" borderId="43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8" fillId="8" borderId="11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11" borderId="48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wrapText="1"/>
    </xf>
    <xf numFmtId="0" fontId="1" fillId="11" borderId="49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50" xfId="0" applyFont="1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wrapText="1"/>
    </xf>
    <xf numFmtId="0" fontId="1" fillId="0" borderId="22" xfId="0" applyFont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1" borderId="14" xfId="0" applyFont="1" applyFill="1" applyBorder="1" applyAlignment="1">
      <alignment horizontal="center" vertical="center" wrapText="1"/>
    </xf>
    <xf numFmtId="0" fontId="1" fillId="11" borderId="52" xfId="0" applyFont="1" applyFill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56" xfId="0" applyFont="1" applyBorder="1" applyAlignment="1">
      <alignment wrapText="1"/>
    </xf>
    <xf numFmtId="0" fontId="1" fillId="0" borderId="24" xfId="0" applyFont="1" applyBorder="1" applyAlignment="1">
      <alignment horizontal="center" vertical="center" wrapText="1"/>
    </xf>
    <xf numFmtId="0" fontId="1" fillId="12" borderId="39" xfId="0" applyFont="1" applyFill="1" applyBorder="1" applyAlignment="1">
      <alignment horizontal="center" vertical="center" wrapText="1"/>
    </xf>
    <xf numFmtId="0" fontId="1" fillId="12" borderId="24" xfId="0" applyFont="1" applyFill="1" applyBorder="1" applyAlignment="1">
      <alignment horizontal="center" vertical="center" wrapText="1"/>
    </xf>
    <xf numFmtId="0" fontId="1" fillId="12" borderId="11" xfId="0" applyFont="1" applyFill="1" applyBorder="1" applyAlignment="1">
      <alignment horizontal="center" vertical="center" wrapText="1"/>
    </xf>
    <xf numFmtId="0" fontId="1" fillId="12" borderId="15" xfId="0" applyFont="1" applyFill="1" applyBorder="1" applyAlignment="1">
      <alignment horizontal="center" vertical="center" wrapText="1"/>
    </xf>
    <xf numFmtId="0" fontId="1" fillId="11" borderId="59" xfId="0" applyFont="1" applyFill="1" applyBorder="1" applyAlignment="1">
      <alignment horizontal="center" vertical="center" wrapText="1"/>
    </xf>
    <xf numFmtId="0" fontId="1" fillId="12" borderId="22" xfId="0" applyFont="1" applyFill="1" applyBorder="1" applyAlignment="1">
      <alignment horizontal="center" vertical="center" wrapText="1"/>
    </xf>
    <xf numFmtId="0" fontId="1" fillId="13" borderId="24" xfId="0" applyFont="1" applyFill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1" fillId="11" borderId="65" xfId="0" applyFont="1" applyFill="1" applyBorder="1" applyAlignment="1">
      <alignment horizontal="center" vertical="center" wrapText="1"/>
    </xf>
    <xf numFmtId="0" fontId="1" fillId="11" borderId="66" xfId="0" applyFont="1" applyFill="1" applyBorder="1" applyAlignment="1">
      <alignment horizontal="center" vertical="center" wrapText="1"/>
    </xf>
    <xf numFmtId="0" fontId="1" fillId="11" borderId="67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" fillId="14" borderId="10" xfId="0" applyFont="1" applyFill="1" applyBorder="1" applyAlignment="1">
      <alignment horizontal="center" vertical="center" wrapText="1"/>
    </xf>
    <xf numFmtId="0" fontId="1" fillId="14" borderId="15" xfId="0" applyFont="1" applyFill="1" applyBorder="1" applyAlignment="1">
      <alignment horizontal="center" vertical="center" wrapText="1"/>
    </xf>
    <xf numFmtId="0" fontId="1" fillId="14" borderId="11" xfId="0" applyFont="1" applyFill="1" applyBorder="1" applyAlignment="1">
      <alignment horizontal="center" vertical="center" wrapText="1"/>
    </xf>
    <xf numFmtId="0" fontId="1" fillId="5" borderId="19" xfId="0" applyFont="1" applyFill="1" applyBorder="1" applyAlignment="1">
      <alignment vertical="center"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7" fillId="0" borderId="41" xfId="0" applyFont="1" applyBorder="1" applyAlignment="1">
      <alignment vertical="center" wrapText="1"/>
    </xf>
    <xf numFmtId="0" fontId="1" fillId="0" borderId="41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6" borderId="24" xfId="0" applyFont="1" applyFill="1" applyBorder="1" applyAlignment="1">
      <alignment horizontal="center" vertical="center" wrapText="1"/>
    </xf>
    <xf numFmtId="0" fontId="1" fillId="5" borderId="2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54" xfId="0" applyFont="1" applyBorder="1" applyAlignment="1">
      <alignment wrapText="1"/>
    </xf>
    <xf numFmtId="0" fontId="2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23" xfId="0" applyFont="1" applyBorder="1" applyAlignment="1">
      <alignment wrapText="1"/>
    </xf>
    <xf numFmtId="0" fontId="10" fillId="10" borderId="18" xfId="0" applyFont="1" applyFill="1" applyBorder="1" applyAlignment="1">
      <alignment horizontal="left" vertical="center" wrapText="1"/>
    </xf>
    <xf numFmtId="0" fontId="1" fillId="15" borderId="46" xfId="0" applyFont="1" applyFill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0" xfId="0" applyFont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1" fillId="0" borderId="18" xfId="0" applyFont="1" applyBorder="1" applyAlignment="1">
      <alignment wrapText="1"/>
    </xf>
    <xf numFmtId="0" fontId="2" fillId="10" borderId="1" xfId="0" applyFont="1" applyFill="1" applyBorder="1" applyAlignment="1">
      <alignment horizontal="left" vertical="center" wrapText="1"/>
    </xf>
    <xf numFmtId="0" fontId="1" fillId="0" borderId="46" xfId="0" applyFont="1" applyBorder="1" applyAlignment="1">
      <alignment wrapText="1"/>
    </xf>
    <xf numFmtId="0" fontId="1" fillId="0" borderId="53" xfId="0" applyFont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9" fillId="9" borderId="18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wrapText="1"/>
    </xf>
    <xf numFmtId="0" fontId="2" fillId="10" borderId="23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left" vertical="center" wrapText="1"/>
    </xf>
    <xf numFmtId="0" fontId="3" fillId="0" borderId="2" xfId="0" applyFont="1" applyBorder="1" applyAlignment="1"/>
    <xf numFmtId="0" fontId="3" fillId="0" borderId="3" xfId="0" applyFont="1" applyBorder="1" applyAlignment="1"/>
    <xf numFmtId="0" fontId="0" fillId="0" borderId="0" xfId="0" applyAlignment="1"/>
    <xf numFmtId="0" fontId="3" fillId="0" borderId="5" xfId="0" applyFont="1" applyBorder="1" applyAlignment="1"/>
    <xf numFmtId="0" fontId="3" fillId="0" borderId="4" xfId="0" applyFont="1" applyBorder="1" applyAlignment="1"/>
    <xf numFmtId="0" fontId="3" fillId="0" borderId="10" xfId="0" applyFont="1" applyBorder="1" applyAlignment="1"/>
    <xf numFmtId="0" fontId="3" fillId="0" borderId="23" xfId="0" applyFont="1" applyBorder="1" applyAlignment="1"/>
    <xf numFmtId="0" fontId="3" fillId="0" borderId="27" xfId="0" applyFont="1" applyBorder="1" applyAlignment="1"/>
    <xf numFmtId="0" fontId="3" fillId="0" borderId="30" xfId="0" applyFont="1" applyBorder="1" applyAlignment="1"/>
    <xf numFmtId="0" fontId="3" fillId="0" borderId="34" xfId="0" applyFont="1" applyBorder="1" applyAlignment="1"/>
    <xf numFmtId="0" fontId="3" fillId="0" borderId="36" xfId="0" applyFont="1" applyBorder="1" applyAlignment="1"/>
    <xf numFmtId="0" fontId="7" fillId="0" borderId="0" xfId="0" applyFont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3" fillId="0" borderId="37" xfId="0" applyFont="1" applyBorder="1" applyAlignment="1"/>
    <xf numFmtId="0" fontId="3" fillId="0" borderId="16" xfId="0" applyFont="1" applyBorder="1" applyAlignment="1"/>
    <xf numFmtId="0" fontId="3" fillId="0" borderId="13" xfId="0" applyFont="1" applyBorder="1" applyAlignment="1"/>
    <xf numFmtId="0" fontId="3" fillId="0" borderId="20" xfId="0" applyFont="1" applyBorder="1" applyAlignment="1"/>
    <xf numFmtId="0" fontId="3" fillId="0" borderId="25" xfId="0" applyFont="1" applyBorder="1" applyAlignment="1"/>
    <xf numFmtId="0" fontId="3" fillId="0" borderId="29" xfId="0" applyFont="1" applyBorder="1" applyAlignment="1"/>
    <xf numFmtId="0" fontId="2" fillId="7" borderId="25" xfId="0" applyFont="1" applyFill="1" applyBorder="1" applyAlignment="1">
      <alignment horizontal="center" vertical="center" wrapText="1"/>
    </xf>
    <xf numFmtId="0" fontId="2" fillId="7" borderId="38" xfId="0" applyFont="1" applyFill="1" applyBorder="1" applyAlignment="1">
      <alignment horizontal="center" vertical="center" wrapText="1"/>
    </xf>
    <xf numFmtId="0" fontId="3" fillId="0" borderId="42" xfId="0" applyFont="1" applyBorder="1" applyAlignment="1"/>
    <xf numFmtId="0" fontId="3" fillId="0" borderId="43" xfId="0" applyFont="1" applyBorder="1" applyAlignment="1"/>
    <xf numFmtId="0" fontId="3" fillId="0" borderId="44" xfId="0" applyFont="1" applyBorder="1" applyAlignment="1"/>
    <xf numFmtId="0" fontId="3" fillId="0" borderId="45" xfId="0" applyFont="1" applyBorder="1" applyAlignment="1"/>
    <xf numFmtId="0" fontId="3" fillId="0" borderId="47" xfId="0" applyFont="1" applyBorder="1" applyAlignment="1"/>
    <xf numFmtId="0" fontId="3" fillId="0" borderId="55" xfId="0" applyFont="1" applyBorder="1" applyAlignment="1"/>
    <xf numFmtId="0" fontId="1" fillId="0" borderId="54" xfId="0" applyFont="1" applyBorder="1" applyAlignment="1"/>
    <xf numFmtId="0" fontId="3" fillId="0" borderId="57" xfId="0" applyFont="1" applyBorder="1" applyAlignment="1"/>
    <xf numFmtId="0" fontId="7" fillId="0" borderId="56" xfId="0" applyFont="1" applyBorder="1"/>
    <xf numFmtId="0" fontId="3" fillId="0" borderId="51" xfId="0" applyFont="1" applyBorder="1" applyAlignment="1"/>
    <xf numFmtId="0" fontId="3" fillId="0" borderId="35" xfId="0" applyFont="1" applyBorder="1" applyAlignment="1"/>
    <xf numFmtId="0" fontId="3" fillId="0" borderId="58" xfId="0" applyFont="1" applyBorder="1" applyAlignment="1"/>
    <xf numFmtId="0" fontId="3" fillId="0" borderId="38" xfId="0" applyFont="1" applyBorder="1" applyAlignment="1"/>
    <xf numFmtId="0" fontId="3" fillId="0" borderId="61" xfId="0" applyFont="1" applyBorder="1" applyAlignment="1"/>
    <xf numFmtId="0" fontId="3" fillId="0" borderId="62" xfId="0" applyFont="1" applyBorder="1" applyAlignment="1"/>
    <xf numFmtId="0" fontId="3" fillId="0" borderId="63" xfId="0" applyFont="1" applyBorder="1" applyAlignment="1"/>
    <xf numFmtId="0" fontId="3" fillId="0" borderId="53" xfId="0" applyFont="1" applyBorder="1" applyAlignment="1"/>
    <xf numFmtId="0" fontId="3" fillId="0" borderId="68" xfId="0" applyFont="1" applyBorder="1" applyAlignment="1"/>
    <xf numFmtId="0" fontId="3" fillId="0" borderId="59" xfId="0" applyFont="1" applyBorder="1" applyAlignment="1"/>
    <xf numFmtId="0" fontId="3" fillId="0" borderId="69" xfId="0" applyFont="1" applyBorder="1" applyAlignment="1"/>
    <xf numFmtId="0" fontId="3" fillId="0" borderId="70" xfId="0" applyFont="1" applyBorder="1" applyAlignment="1"/>
  </cellXfs>
  <cellStyles count="1">
    <cellStyle name="Normal" xfId="0" builtinId="0"/>
  </cellStyles>
  <dxfs count="18">
    <dxf>
      <fill>
        <patternFill patternType="solid">
          <fgColor rgb="FFE67C73"/>
          <bgColor rgb="FFE67C73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E67C73"/>
          <bgColor rgb="FFE67C73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E67C73"/>
          <bgColor rgb="FFE67C73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E67C73"/>
          <bgColor rgb="FFE67C73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E67C73"/>
          <bgColor rgb="FFE67C73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E67C73"/>
          <bgColor rgb="FFE67C73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E67C73"/>
          <bgColor rgb="FFE67C73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E67C73"/>
          <bgColor rgb="FFE67C73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E67C73"/>
          <bgColor rgb="FFE67C73"/>
        </patternFill>
      </fill>
    </dxf>
    <dxf>
      <fill>
        <patternFill patternType="solid">
          <fgColor rgb="FF57BB8A"/>
          <bgColor rgb="FF57BB8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image" Target="../media/image24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12" Type="http://schemas.openxmlformats.org/officeDocument/2006/relationships/image" Target="../media/image2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7.png"/><Relationship Id="rId11" Type="http://schemas.openxmlformats.org/officeDocument/2006/relationships/image" Target="../media/image22.png"/><Relationship Id="rId5" Type="http://schemas.openxmlformats.org/officeDocument/2006/relationships/image" Target="../media/image16.png"/><Relationship Id="rId10" Type="http://schemas.openxmlformats.org/officeDocument/2006/relationships/image" Target="../media/image21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Relationship Id="rId14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314325</xdr:colOff>
      <xdr:row>8</xdr:row>
      <xdr:rowOff>28575</xdr:rowOff>
    </xdr:from>
    <xdr:ext cx="704850" cy="361950"/>
    <xdr:pic>
      <xdr:nvPicPr>
        <xdr:cNvPr id="2" name="image8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219075</xdr:colOff>
      <xdr:row>8</xdr:row>
      <xdr:rowOff>28575</xdr:rowOff>
    </xdr:from>
    <xdr:ext cx="819150" cy="361950"/>
    <xdr:pic>
      <xdr:nvPicPr>
        <xdr:cNvPr id="3" name="image5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12</xdr:row>
      <xdr:rowOff>85725</xdr:rowOff>
    </xdr:from>
    <xdr:ext cx="904875" cy="266700"/>
    <xdr:pic>
      <xdr:nvPicPr>
        <xdr:cNvPr id="4" name="image7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5</xdr:row>
      <xdr:rowOff>9525</xdr:rowOff>
    </xdr:from>
    <xdr:ext cx="904875" cy="361950"/>
    <xdr:pic>
      <xdr:nvPicPr>
        <xdr:cNvPr id="5" name="image21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12</xdr:row>
      <xdr:rowOff>85725</xdr:rowOff>
    </xdr:from>
    <xdr:ext cx="962025" cy="266700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1209675</xdr:colOff>
      <xdr:row>12</xdr:row>
      <xdr:rowOff>114300</xdr:rowOff>
    </xdr:from>
    <xdr:ext cx="1019175" cy="209550"/>
    <xdr:pic>
      <xdr:nvPicPr>
        <xdr:cNvPr id="7" name="image20.png" title="Imag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304800</xdr:colOff>
      <xdr:row>5</xdr:row>
      <xdr:rowOff>38100</xdr:rowOff>
    </xdr:from>
    <xdr:ext cx="514350" cy="314325"/>
    <xdr:pic>
      <xdr:nvPicPr>
        <xdr:cNvPr id="8" name="image2.png" title="Imag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381000</xdr:colOff>
      <xdr:row>23</xdr:row>
      <xdr:rowOff>190500</xdr:rowOff>
    </xdr:from>
    <xdr:ext cx="2628900" cy="1400175"/>
    <xdr:pic>
      <xdr:nvPicPr>
        <xdr:cNvPr id="2" name="image9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23</xdr:row>
      <xdr:rowOff>190500</xdr:rowOff>
    </xdr:from>
    <xdr:ext cx="3257550" cy="1400175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695325</xdr:colOff>
      <xdr:row>14</xdr:row>
      <xdr:rowOff>180975</xdr:rowOff>
    </xdr:from>
    <xdr:ext cx="3495675" cy="219075"/>
    <xdr:pic>
      <xdr:nvPicPr>
        <xdr:cNvPr id="4" name="image4.pn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381000</xdr:colOff>
      <xdr:row>23</xdr:row>
      <xdr:rowOff>190500</xdr:rowOff>
    </xdr:from>
    <xdr:ext cx="2628900" cy="1400175"/>
    <xdr:pic>
      <xdr:nvPicPr>
        <xdr:cNvPr id="2" name="image9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23</xdr:row>
      <xdr:rowOff>190500</xdr:rowOff>
    </xdr:from>
    <xdr:ext cx="3257550" cy="1400175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657225</xdr:colOff>
      <xdr:row>14</xdr:row>
      <xdr:rowOff>200025</xdr:rowOff>
    </xdr:from>
    <xdr:ext cx="3352800" cy="209550"/>
    <xdr:pic>
      <xdr:nvPicPr>
        <xdr:cNvPr id="4" name="image10.png" title="Imag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</xdr:colOff>
      <xdr:row>14</xdr:row>
      <xdr:rowOff>209550</xdr:rowOff>
    </xdr:from>
    <xdr:ext cx="3562350" cy="190500"/>
    <xdr:pic>
      <xdr:nvPicPr>
        <xdr:cNvPr id="2" name="image6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723900</xdr:colOff>
      <xdr:row>7</xdr:row>
      <xdr:rowOff>209550</xdr:rowOff>
    </xdr:from>
    <xdr:ext cx="8439150" cy="952500"/>
    <xdr:pic>
      <xdr:nvPicPr>
        <xdr:cNvPr id="2" name="image14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619125</xdr:colOff>
      <xdr:row>14</xdr:row>
      <xdr:rowOff>9525</xdr:rowOff>
    </xdr:from>
    <xdr:ext cx="8439150" cy="952500"/>
    <xdr:pic>
      <xdr:nvPicPr>
        <xdr:cNvPr id="3" name="image14.png" title="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123825</xdr:colOff>
      <xdr:row>2</xdr:row>
      <xdr:rowOff>209550</xdr:rowOff>
    </xdr:from>
    <xdr:ext cx="704850" cy="361950"/>
    <xdr:pic>
      <xdr:nvPicPr>
        <xdr:cNvPr id="2" name="image8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3</xdr:row>
      <xdr:rowOff>28575</xdr:rowOff>
    </xdr:from>
    <xdr:ext cx="819150" cy="361950"/>
    <xdr:pic>
      <xdr:nvPicPr>
        <xdr:cNvPr id="3" name="image5.png" title="Imag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11</xdr:row>
      <xdr:rowOff>38100</xdr:rowOff>
    </xdr:from>
    <xdr:ext cx="904875" cy="361950"/>
    <xdr:pic>
      <xdr:nvPicPr>
        <xdr:cNvPr id="4" name="image12.png" title="Imag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10</xdr:row>
      <xdr:rowOff>76200</xdr:rowOff>
    </xdr:from>
    <xdr:ext cx="600075" cy="314325"/>
    <xdr:pic>
      <xdr:nvPicPr>
        <xdr:cNvPr id="5" name="image18.png" title="Imag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133350</xdr:colOff>
      <xdr:row>10</xdr:row>
      <xdr:rowOff>76200</xdr:rowOff>
    </xdr:from>
    <xdr:ext cx="676275" cy="314325"/>
    <xdr:pic>
      <xdr:nvPicPr>
        <xdr:cNvPr id="6" name="image24.png" title="Image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923925</xdr:colOff>
      <xdr:row>12</xdr:row>
      <xdr:rowOff>180975</xdr:rowOff>
    </xdr:from>
    <xdr:ext cx="962025" cy="381000"/>
    <xdr:pic>
      <xdr:nvPicPr>
        <xdr:cNvPr id="7" name="image25.png" title="Image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133350</xdr:colOff>
      <xdr:row>14</xdr:row>
      <xdr:rowOff>66675</xdr:rowOff>
    </xdr:from>
    <xdr:ext cx="904875" cy="314325"/>
    <xdr:pic>
      <xdr:nvPicPr>
        <xdr:cNvPr id="8" name="image11.png" title="Image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17</xdr:row>
      <xdr:rowOff>47625</xdr:rowOff>
    </xdr:from>
    <xdr:ext cx="666750" cy="314325"/>
    <xdr:pic>
      <xdr:nvPicPr>
        <xdr:cNvPr id="9" name="image19.png" title="Image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</xdr:colOff>
      <xdr:row>18</xdr:row>
      <xdr:rowOff>57150</xdr:rowOff>
    </xdr:from>
    <xdr:ext cx="704850" cy="314325"/>
    <xdr:pic>
      <xdr:nvPicPr>
        <xdr:cNvPr id="10" name="image15.png" title="Image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200025</xdr:colOff>
      <xdr:row>20</xdr:row>
      <xdr:rowOff>209550</xdr:rowOff>
    </xdr:from>
    <xdr:ext cx="962025" cy="266700"/>
    <xdr:pic>
      <xdr:nvPicPr>
        <xdr:cNvPr id="11" name="image16.png" title="Image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828675</xdr:colOff>
      <xdr:row>19</xdr:row>
      <xdr:rowOff>66675</xdr:rowOff>
    </xdr:from>
    <xdr:ext cx="1019175" cy="266700"/>
    <xdr:pic>
      <xdr:nvPicPr>
        <xdr:cNvPr id="12" name="image17.png" title="Image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17</xdr:row>
      <xdr:rowOff>66675</xdr:rowOff>
    </xdr:from>
    <xdr:ext cx="676275" cy="266700"/>
    <xdr:pic>
      <xdr:nvPicPr>
        <xdr:cNvPr id="13" name="image23.png" title="Image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32</xdr:row>
      <xdr:rowOff>28575</xdr:rowOff>
    </xdr:from>
    <xdr:ext cx="1019175" cy="314325"/>
    <xdr:pic>
      <xdr:nvPicPr>
        <xdr:cNvPr id="14" name="image13.png" title="Image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33</xdr:row>
      <xdr:rowOff>123825</xdr:rowOff>
    </xdr:from>
    <xdr:ext cx="1152525" cy="266700"/>
    <xdr:pic>
      <xdr:nvPicPr>
        <xdr:cNvPr id="15" name="image22.png" title="Image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ome%20Sizing%20|%20Harvey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ome%20Sizing%20|%20ASM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me Sizing | Harvey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me Sizing | ASME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thony Cardoza" id="{4458D990-C52B-40AB-8AA5-461B91E3C084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8" dT="2026-08-18T22:32:50.00" personId="{4458D990-C52B-40AB-8AA5-461B91E3C084}" id="{1339E270-EAD8-41A0-9920-5B5830D0C602}">
    <text>This is so close to recommended max of 85% that I'm keeping it; otherwise use 1 backup ring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0JeMpgRRerTJnKGLHD3Lh879pCKpbLCK/view?usp=sharing" TargetMode="External"/><Relationship Id="rId2" Type="http://schemas.openxmlformats.org/officeDocument/2006/relationships/hyperlink" Target="https://asm.matweb.com/search/specificmaterial.asp?bassnum=ma6061t6" TargetMode="External"/><Relationship Id="rId1" Type="http://schemas.openxmlformats.org/officeDocument/2006/relationships/hyperlink" Target="https://www.onlinemetals.com/en/buy/aluminum/8-od-x-0-125-wall-x-7-75-id-aluminum-round-tube-6061-t6-extruded/pid/7083?srsltid=AfmBOoqSbcIGJdE1asPJEgEEZUBiFTWqwcW0rPa7GrYouEnTd7ANLZUq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mcmaster.com/9452K209/?s=340+o+ring" TargetMode="External"/><Relationship Id="rId1" Type="http://schemas.openxmlformats.org/officeDocument/2006/relationships/hyperlink" Target="https://theoreticalmachinist.com/IsoMetricToleranc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www.mcmaster.com/9452K165/?s=236+o+ring" TargetMode="External"/><Relationship Id="rId1" Type="http://schemas.openxmlformats.org/officeDocument/2006/relationships/hyperlink" Target="https://theoreticalmachinist.com/IsoMetricTolerance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www.mcmaster.com/9452K514?s=buna-n+o-rings" TargetMode="External"/><Relationship Id="rId1" Type="http://schemas.openxmlformats.org/officeDocument/2006/relationships/hyperlink" Target="https://theoreticalmachinist.com/IsoMetricTolerance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www.mcmaster.com/92949A619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18"/>
  <sheetViews>
    <sheetView workbookViewId="0">
      <selection activeCell="D12" sqref="D12"/>
    </sheetView>
  </sheetViews>
  <sheetFormatPr defaultColWidth="12.7109375" defaultRowHeight="15.75" customHeight="1"/>
  <cols>
    <col min="2" max="3" width="16.140625" customWidth="1"/>
    <col min="4" max="4" width="15.85546875" customWidth="1"/>
    <col min="5" max="5" width="16.28515625" customWidth="1"/>
    <col min="6" max="6" width="15.7109375" customWidth="1"/>
    <col min="7" max="7" width="16.28515625" customWidth="1"/>
    <col min="8" max="8" width="16.5703125" customWidth="1"/>
    <col min="9" max="9" width="16.42578125" customWidth="1"/>
    <col min="10" max="10" width="17" customWidth="1"/>
    <col min="11" max="11" width="16.7109375" customWidth="1"/>
    <col min="12" max="12" width="15" customWidth="1"/>
  </cols>
  <sheetData>
    <row r="1" spans="1:28" ht="12.7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2.75">
      <c r="A2" s="2"/>
      <c r="B2" s="83" t="s">
        <v>0</v>
      </c>
      <c r="C2" s="122"/>
      <c r="D2" s="122"/>
      <c r="E2" s="122"/>
      <c r="F2" s="122"/>
      <c r="G2" s="122"/>
      <c r="H2" s="12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2.75">
      <c r="A3" s="2"/>
      <c r="B3" s="84" t="s">
        <v>1</v>
      </c>
      <c r="C3" s="124"/>
      <c r="D3" s="124"/>
      <c r="E3" s="124"/>
      <c r="F3" s="124"/>
      <c r="G3" s="124"/>
      <c r="H3" s="12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35.25">
      <c r="A4" s="2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5" t="s">
        <v>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2.75">
      <c r="A5" s="2"/>
      <c r="B5" s="6">
        <v>4</v>
      </c>
      <c r="C5" s="7">
        <v>0.1875</v>
      </c>
      <c r="D5" s="7">
        <v>40000</v>
      </c>
      <c r="E5" s="8">
        <f>D5/1.5</f>
        <v>26666.666666666668</v>
      </c>
      <c r="F5" s="8">
        <f>B5/2</f>
        <v>2</v>
      </c>
      <c r="G5" s="8">
        <f>(B5-0.5*C5)/2</f>
        <v>1.953125</v>
      </c>
      <c r="H5" s="9">
        <v>360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32.25" customHeight="1">
      <c r="A6" s="2"/>
      <c r="B6" s="85"/>
      <c r="C6" s="124"/>
      <c r="D6" s="124"/>
      <c r="E6" s="124"/>
      <c r="F6" s="124"/>
      <c r="G6" s="124"/>
      <c r="H6" s="12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35.25">
      <c r="A7" s="2"/>
      <c r="B7" s="3" t="s">
        <v>9</v>
      </c>
      <c r="C7" s="10" t="s">
        <v>10</v>
      </c>
      <c r="D7" s="4" t="s">
        <v>11</v>
      </c>
      <c r="E7" s="3" t="s">
        <v>12</v>
      </c>
      <c r="F7" s="4" t="s">
        <v>13</v>
      </c>
      <c r="G7" s="4" t="s">
        <v>14</v>
      </c>
      <c r="H7" s="5" t="s">
        <v>15</v>
      </c>
      <c r="I7" s="2"/>
      <c r="J7" s="11"/>
      <c r="K7" s="1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2.75">
      <c r="A8" s="2"/>
      <c r="B8" s="12">
        <f>(H5*G5)/C5</f>
        <v>3750</v>
      </c>
      <c r="C8" s="13">
        <f>B8/2</f>
        <v>1875</v>
      </c>
      <c r="D8" s="8">
        <f>(2*E5*C5)/B5</f>
        <v>2500</v>
      </c>
      <c r="E8" s="8">
        <f>(D8*G5)/C5</f>
        <v>26041.666666666668</v>
      </c>
      <c r="F8" s="8">
        <f>E8/2</f>
        <v>13020.833333333334</v>
      </c>
      <c r="G8" s="7">
        <v>4</v>
      </c>
      <c r="H8" s="15">
        <f>(3*H5*((H19/2)^2))/(4*(H12^2))</f>
        <v>10000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7.25" customHeight="1">
      <c r="A9" s="2"/>
      <c r="B9" s="85"/>
      <c r="C9" s="124"/>
      <c r="D9" s="124"/>
      <c r="E9" s="124"/>
      <c r="F9" s="124"/>
      <c r="G9" s="124"/>
      <c r="H9" s="12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7.25" customHeight="1">
      <c r="A10" s="2"/>
      <c r="B10" s="126"/>
      <c r="C10" s="124"/>
      <c r="D10" s="124"/>
      <c r="E10" s="124"/>
      <c r="F10" s="124"/>
      <c r="G10" s="124"/>
      <c r="H10" s="12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30.75" customHeight="1">
      <c r="A11" s="2"/>
      <c r="B11" s="86" t="s">
        <v>16</v>
      </c>
      <c r="C11" s="4" t="s">
        <v>17</v>
      </c>
      <c r="D11" s="10" t="s">
        <v>18</v>
      </c>
      <c r="E11" s="87" t="s">
        <v>19</v>
      </c>
      <c r="F11" s="4" t="s">
        <v>20</v>
      </c>
      <c r="G11" s="4" t="s">
        <v>21</v>
      </c>
      <c r="H11" s="5" t="s">
        <v>22</v>
      </c>
      <c r="I11" s="1"/>
      <c r="J11" s="81" t="s">
        <v>23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7.25" customHeight="1">
      <c r="A12" s="2"/>
      <c r="B12" s="127"/>
      <c r="C12" s="19">
        <f>E5/B8</f>
        <v>7.1111111111111116</v>
      </c>
      <c r="D12" s="13">
        <f>C12*1.5</f>
        <v>10.666666666666668</v>
      </c>
      <c r="E12" s="128"/>
      <c r="F12" s="19">
        <f>E5/E8</f>
        <v>1.024</v>
      </c>
      <c r="G12" s="8">
        <f>F12*1.5</f>
        <v>1.536</v>
      </c>
      <c r="H12" s="15">
        <f>SQRT((G8*3*H5*((H19/2)^2))/(4*D5))</f>
        <v>0.30911871887619602</v>
      </c>
      <c r="I12" s="2"/>
      <c r="J12" s="129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8" customHeight="1">
      <c r="A13" s="2"/>
      <c r="B13" s="85"/>
      <c r="C13" s="124"/>
      <c r="D13" s="124"/>
      <c r="E13" s="124"/>
      <c r="F13" s="124"/>
      <c r="G13" s="124"/>
      <c r="H13" s="125"/>
      <c r="I13" s="2"/>
      <c r="J13" s="130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8" customHeight="1">
      <c r="A14" s="2"/>
      <c r="B14" s="126"/>
      <c r="C14" s="124"/>
      <c r="D14" s="124"/>
      <c r="E14" s="124"/>
      <c r="F14" s="124"/>
      <c r="G14" s="124"/>
      <c r="H14" s="125"/>
      <c r="I14" s="2"/>
      <c r="J14" s="1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3.5">
      <c r="A15" s="2"/>
      <c r="B15" s="88" t="s">
        <v>24</v>
      </c>
      <c r="C15" s="131"/>
      <c r="D15" s="131"/>
      <c r="E15" s="131"/>
      <c r="F15" s="131"/>
      <c r="G15" s="131"/>
      <c r="H15" s="132"/>
      <c r="I15" s="1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2.75">
      <c r="A16" s="2"/>
      <c r="B16" s="29" t="s">
        <v>25</v>
      </c>
      <c r="C16" s="133" t="s">
        <v>26</v>
      </c>
      <c r="D16" s="124"/>
      <c r="E16" s="124"/>
      <c r="F16" s="124"/>
      <c r="G16" s="124"/>
      <c r="H16" s="12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2.75">
      <c r="A17" s="2"/>
      <c r="B17" s="29" t="s">
        <v>27</v>
      </c>
      <c r="C17" s="133" t="s">
        <v>28</v>
      </c>
      <c r="D17" s="124"/>
      <c r="E17" s="124"/>
      <c r="F17" s="124"/>
      <c r="G17" s="124"/>
      <c r="H17" s="12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2.75">
      <c r="A18" s="2"/>
      <c r="B18" s="36" t="s">
        <v>29</v>
      </c>
      <c r="C18" s="134" t="s">
        <v>26</v>
      </c>
      <c r="D18" s="135"/>
      <c r="E18" s="135"/>
      <c r="F18" s="135"/>
      <c r="G18" s="135"/>
      <c r="H18" s="136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2.75">
      <c r="A19" s="2"/>
      <c r="B19" s="2"/>
      <c r="C19" s="2"/>
      <c r="D19" s="2"/>
      <c r="E19" s="2"/>
      <c r="F19" s="82" t="s">
        <v>30</v>
      </c>
      <c r="G19" s="124"/>
      <c r="H19" s="2">
        <f>('O-Ring (2-340) Parameters'!F12)-0.0017</f>
        <v>3.7624732283464568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2.75">
      <c r="A20" s="2"/>
      <c r="B20" s="2"/>
      <c r="C20" s="2"/>
      <c r="D20" s="2"/>
      <c r="E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30.75" customHeight="1">
      <c r="F21" s="17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2.75">
      <c r="G22" s="2"/>
      <c r="H22" s="2"/>
      <c r="I22" s="2"/>
      <c r="J22" s="2"/>
      <c r="K22" s="2"/>
      <c r="L22" s="2"/>
      <c r="M22" s="39"/>
      <c r="N22" s="39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2.75">
      <c r="G23" s="2"/>
      <c r="H23" s="2"/>
      <c r="I23" s="2"/>
      <c r="J23" s="2"/>
      <c r="K23" s="2"/>
      <c r="L23" s="2"/>
      <c r="M23" s="39"/>
      <c r="N23" s="39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36.75" customHeight="1">
      <c r="G24" s="2"/>
      <c r="H24" s="2"/>
      <c r="I24" s="2"/>
      <c r="J24" s="2"/>
      <c r="K24" s="2"/>
      <c r="L24" s="39"/>
      <c r="M24" s="39"/>
      <c r="N24" s="39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2.75">
      <c r="G25" s="2"/>
      <c r="H25" s="2"/>
      <c r="I25" s="2"/>
      <c r="J25" s="2"/>
      <c r="K25" s="2"/>
      <c r="L25" s="39"/>
      <c r="M25" s="39"/>
      <c r="N25" s="39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2.75">
      <c r="G26" s="2"/>
      <c r="H26" s="2"/>
      <c r="I26" s="2"/>
      <c r="J26" s="2"/>
      <c r="K26" s="2"/>
      <c r="L26" s="39"/>
      <c r="M26" s="39"/>
      <c r="N26" s="39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39" customHeight="1">
      <c r="G27" s="2"/>
      <c r="H27" s="2"/>
      <c r="I27" s="2"/>
      <c r="J27" s="2"/>
      <c r="K27" s="2"/>
      <c r="L27" s="39"/>
      <c r="M27" s="39"/>
      <c r="N27" s="39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2.75">
      <c r="G28" s="2"/>
      <c r="H28" s="2"/>
      <c r="I28" s="2"/>
      <c r="J28" s="2"/>
      <c r="K28" s="2"/>
      <c r="L28" s="39"/>
      <c r="M28" s="39"/>
      <c r="N28" s="39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2.75">
      <c r="G29" s="2"/>
      <c r="H29" s="2"/>
      <c r="I29" s="2"/>
      <c r="J29" s="2"/>
      <c r="K29" s="2"/>
      <c r="L29" s="39"/>
      <c r="M29" s="39"/>
      <c r="N29" s="39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32.25" customHeight="1">
      <c r="G30" s="2"/>
      <c r="H30" s="2"/>
      <c r="I30" s="2"/>
      <c r="J30" s="2"/>
      <c r="K30" s="2"/>
      <c r="L30" s="39"/>
      <c r="M30" s="39"/>
      <c r="N30" s="39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2.75">
      <c r="G31" s="2"/>
      <c r="H31" s="2"/>
      <c r="I31" s="2"/>
      <c r="J31" s="2"/>
      <c r="K31" s="2"/>
      <c r="L31" s="39"/>
      <c r="M31" s="39"/>
      <c r="N31" s="39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2.75">
      <c r="G32" s="2"/>
      <c r="H32" s="2"/>
      <c r="I32" s="2"/>
      <c r="J32" s="2"/>
      <c r="K32" s="2"/>
      <c r="L32" s="39"/>
      <c r="M32" s="39"/>
      <c r="N32" s="39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2.75">
      <c r="G33" s="2"/>
      <c r="H33" s="2"/>
      <c r="I33" s="2"/>
      <c r="J33" s="2"/>
      <c r="K33" s="2"/>
      <c r="L33" s="39"/>
      <c r="M33" s="39"/>
      <c r="N33" s="39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2.75">
      <c r="G34" s="2"/>
      <c r="H34" s="2"/>
      <c r="I34" s="2"/>
      <c r="J34" s="2"/>
      <c r="K34" s="2"/>
      <c r="L34" s="39"/>
      <c r="M34" s="39"/>
      <c r="N34" s="39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2.75">
      <c r="G35" s="2"/>
      <c r="H35" s="2"/>
      <c r="I35" s="2"/>
      <c r="J35" s="2"/>
      <c r="K35" s="2"/>
      <c r="L35" s="39"/>
      <c r="M35" s="39"/>
      <c r="N35" s="39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2.75">
      <c r="G36" s="2"/>
      <c r="H36" s="2"/>
      <c r="I36" s="2"/>
      <c r="J36" s="2"/>
      <c r="K36" s="2"/>
      <c r="L36" s="39"/>
      <c r="M36" s="39"/>
      <c r="N36" s="39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2.75">
      <c r="G37" s="2"/>
      <c r="H37" s="2"/>
      <c r="I37" s="2"/>
      <c r="J37" s="2"/>
      <c r="K37" s="2"/>
      <c r="L37" s="39"/>
      <c r="M37" s="39"/>
      <c r="N37" s="39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40.5" customHeight="1">
      <c r="G38" s="2"/>
      <c r="H38" s="2"/>
      <c r="I38" s="2"/>
      <c r="J38" s="2"/>
      <c r="K38" s="2"/>
      <c r="L38" s="39"/>
      <c r="M38" s="39"/>
      <c r="N38" s="39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7.25" customHeight="1">
      <c r="G39" s="2"/>
      <c r="H39" s="2"/>
      <c r="I39" s="2"/>
      <c r="J39" s="2"/>
      <c r="K39" s="2"/>
      <c r="L39" s="39"/>
      <c r="M39" s="39"/>
      <c r="N39" s="3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8.75" customHeight="1">
      <c r="G40" s="2"/>
      <c r="H40" s="2"/>
      <c r="I40" s="39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2.75">
      <c r="G41" s="2"/>
      <c r="H41" s="2"/>
      <c r="I41" s="39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6.5" customHeight="1">
      <c r="G42" s="2"/>
      <c r="H42" s="2"/>
      <c r="I42" s="39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34.5" customHeight="1">
      <c r="A43" s="2"/>
      <c r="B43" s="2"/>
      <c r="C43" s="2"/>
      <c r="D43" s="2"/>
      <c r="E43" s="2"/>
      <c r="F43" s="2"/>
      <c r="G43" s="2"/>
      <c r="H43" s="2"/>
      <c r="I43" s="39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8" customHeight="1">
      <c r="A44" s="2"/>
      <c r="B44" s="2"/>
      <c r="C44" s="2"/>
      <c r="D44" s="2"/>
      <c r="E44" s="2"/>
      <c r="F44" s="2"/>
      <c r="G44" s="2"/>
      <c r="H44" s="2"/>
      <c r="I44" s="39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2.75">
      <c r="A45" s="2"/>
      <c r="B45" s="2"/>
      <c r="C45" s="2"/>
      <c r="D45" s="2"/>
      <c r="E45" s="2"/>
      <c r="F45" s="2"/>
      <c r="G45" s="2"/>
      <c r="H45" s="2"/>
      <c r="I45" s="39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7.25" customHeight="1">
      <c r="A46" s="2"/>
      <c r="B46" s="2"/>
      <c r="C46" s="2"/>
      <c r="D46" s="2"/>
      <c r="E46" s="2"/>
      <c r="F46" s="2"/>
      <c r="G46" s="2"/>
      <c r="H46" s="2"/>
      <c r="I46" s="39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34.5" customHeight="1">
      <c r="A47" s="2"/>
      <c r="B47" s="2"/>
      <c r="C47" s="2"/>
      <c r="D47" s="2"/>
      <c r="E47" s="2"/>
      <c r="F47" s="2"/>
      <c r="G47" s="2"/>
      <c r="H47" s="2"/>
      <c r="I47" s="39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7.25" customHeight="1">
      <c r="A48" s="2"/>
      <c r="B48" s="2"/>
      <c r="C48" s="2"/>
      <c r="D48" s="2"/>
      <c r="E48" s="2"/>
      <c r="F48" s="2"/>
      <c r="G48" s="2"/>
      <c r="H48" s="2"/>
      <c r="I48" s="39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2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31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2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30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32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2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2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2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2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33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2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2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2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32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2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2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2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34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2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2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2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3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2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2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2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2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2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2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2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2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2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2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2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2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2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2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2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2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2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2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36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2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2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2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2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2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2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33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2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2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2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2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2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2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33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2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2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2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2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2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2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2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2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2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2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2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2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2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2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2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2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36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2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2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2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2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2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2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2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2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2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34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2.75">
      <c r="A145" s="2"/>
      <c r="B145" s="40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2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2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2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2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2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2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2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26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2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1:28" ht="12.7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spans="1:28" ht="12.7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spans="1:28" ht="12.7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spans="1:28" ht="12.7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 spans="1:28" ht="12.7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 spans="1:28" ht="12.7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 spans="1:28" ht="12.7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 spans="1:28" ht="12.7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 spans="1:28" ht="12.7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 spans="1:28" ht="12.7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 spans="1:28" ht="12.7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 spans="1:28" ht="12.7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 spans="1:28" ht="12.7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 spans="1:28" ht="12.7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 spans="1:28" ht="12.7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  <row r="1016" spans="1:28" ht="12.7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</row>
    <row r="1017" spans="1:28" ht="12.7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</row>
    <row r="1018" spans="1:28" ht="12.7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</row>
  </sheetData>
  <mergeCells count="13">
    <mergeCell ref="J11:J13"/>
    <mergeCell ref="F19:G19"/>
    <mergeCell ref="B2:H2"/>
    <mergeCell ref="B3:H3"/>
    <mergeCell ref="B6:H6"/>
    <mergeCell ref="B9:H10"/>
    <mergeCell ref="B11:B12"/>
    <mergeCell ref="E11:E12"/>
    <mergeCell ref="B13:H14"/>
    <mergeCell ref="B15:H15"/>
    <mergeCell ref="C16:H16"/>
    <mergeCell ref="C17:H17"/>
    <mergeCell ref="C18:H18"/>
  </mergeCells>
  <conditionalFormatting sqref="C12:D12 F12:G12">
    <cfRule type="colorScale" priority="1">
      <colorScale>
        <cfvo type="formula" val="1.9"/>
        <cfvo type="formula" val="2.9"/>
        <cfvo type="formula" val="3.9"/>
        <color rgb="FFE67C73"/>
        <color rgb="FFFFD666"/>
        <color rgb="FF57BB8A"/>
      </colorScale>
    </cfRule>
  </conditionalFormatting>
  <hyperlinks>
    <hyperlink ref="C16" r:id="rId1" xr:uid="{00000000-0004-0000-0000-000000000000}"/>
    <hyperlink ref="C17" r:id="rId2" xr:uid="{00000000-0004-0000-0000-000001000000}"/>
    <hyperlink ref="C18" r:id="rId3" xr:uid="{00000000-0004-0000-0000-00000200000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9"/>
  <sheetViews>
    <sheetView workbookViewId="0"/>
  </sheetViews>
  <sheetFormatPr defaultColWidth="12.7109375" defaultRowHeight="15.75" customHeight="1"/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>
      <c r="A2" s="1"/>
      <c r="B2" s="83"/>
      <c r="C2" s="122"/>
      <c r="D2" s="122"/>
      <c r="E2" s="122"/>
      <c r="F2" s="122"/>
      <c r="G2" s="122"/>
      <c r="H2" s="12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>
      <c r="A3" s="1"/>
      <c r="B3" s="84"/>
      <c r="C3" s="124"/>
      <c r="D3" s="124"/>
      <c r="E3" s="124"/>
      <c r="F3" s="124"/>
      <c r="G3" s="124"/>
      <c r="H3" s="125"/>
      <c r="I3" s="1"/>
      <c r="J3" s="1"/>
      <c r="K3" s="1"/>
      <c r="L3" s="1"/>
      <c r="R3" s="1"/>
      <c r="S3" s="1"/>
      <c r="T3" s="1"/>
      <c r="U3" s="1"/>
      <c r="V3" s="1"/>
      <c r="W3" s="1"/>
      <c r="X3" s="1"/>
      <c r="Y3" s="1"/>
      <c r="Z3" s="1"/>
    </row>
    <row r="4" spans="1:26" ht="35.25">
      <c r="A4" s="1"/>
      <c r="B4" s="3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9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>
      <c r="A5" s="1"/>
      <c r="B5" s="6">
        <v>3.77</v>
      </c>
      <c r="C5" s="8">
        <f>C12</f>
        <v>3.3500000000000005</v>
      </c>
      <c r="D5" s="7">
        <v>1.281E-2</v>
      </c>
      <c r="E5" s="8">
        <f>D12</f>
        <v>0.20984251968503939</v>
      </c>
      <c r="F5" s="8">
        <f>PI()*(D12^2)/4</f>
        <v>3.4584130888681522E-2</v>
      </c>
      <c r="G5" s="7">
        <v>0</v>
      </c>
      <c r="H5" s="13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>
      <c r="A6" s="1"/>
      <c r="B6" s="85"/>
      <c r="C6" s="124"/>
      <c r="D6" s="124"/>
      <c r="E6" s="124"/>
      <c r="F6" s="124"/>
      <c r="G6" s="124"/>
      <c r="H6" s="125"/>
      <c r="I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5.25">
      <c r="A7" s="1" t="s">
        <v>37</v>
      </c>
      <c r="B7" s="3" t="s">
        <v>38</v>
      </c>
      <c r="C7" s="4" t="s">
        <v>39</v>
      </c>
      <c r="D7" s="4" t="s">
        <v>40</v>
      </c>
      <c r="E7" s="4" t="s">
        <v>41</v>
      </c>
      <c r="F7" s="10" t="s">
        <v>42</v>
      </c>
      <c r="G7" s="10" t="s">
        <v>43</v>
      </c>
      <c r="H7" s="5" t="s">
        <v>44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>
      <c r="A8" s="1"/>
      <c r="B8" s="6">
        <f>H12</f>
        <v>3.45</v>
      </c>
      <c r="C8" s="14">
        <f>(F12/2)-(H12/2)</f>
        <v>0.15708661417322833</v>
      </c>
      <c r="D8" s="7">
        <f>E12</f>
        <v>0.28346456692913385</v>
      </c>
      <c r="E8" s="8">
        <f>C8*D8</f>
        <v>4.4528489056978107E-2</v>
      </c>
      <c r="F8" s="8">
        <f>((E5-C8)/E5)*100</f>
        <v>25.140712945591009</v>
      </c>
      <c r="G8" s="8">
        <f>((B8-C5)/C5)*100</f>
        <v>2.9850746268656603</v>
      </c>
      <c r="H8" s="16">
        <f>(((D5*G5)+F5)/E8)*100</f>
        <v>77.667425104921236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>
      <c r="A9" s="1"/>
      <c r="B9" s="85"/>
      <c r="C9" s="124"/>
      <c r="D9" s="124"/>
      <c r="E9" s="124"/>
      <c r="F9" s="124"/>
      <c r="G9" s="124"/>
      <c r="H9" s="125"/>
      <c r="I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5.25">
      <c r="A10" s="17" t="s">
        <v>45</v>
      </c>
      <c r="B10" s="3" t="s">
        <v>46</v>
      </c>
      <c r="C10" s="4" t="s">
        <v>47</v>
      </c>
      <c r="D10" s="4" t="s">
        <v>48</v>
      </c>
      <c r="E10" s="10" t="s">
        <v>49</v>
      </c>
      <c r="F10" s="92" t="s">
        <v>50</v>
      </c>
      <c r="G10" s="138"/>
      <c r="H10" s="5" t="s">
        <v>51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ht="12.75">
      <c r="A11" s="18" t="s">
        <v>52</v>
      </c>
      <c r="B11" s="85" t="s">
        <v>53</v>
      </c>
      <c r="C11" s="20">
        <v>85.09</v>
      </c>
      <c r="D11" s="20">
        <v>5.33</v>
      </c>
      <c r="E11" s="20">
        <v>7.2</v>
      </c>
      <c r="F11" s="95">
        <v>95.61</v>
      </c>
      <c r="G11" s="139"/>
      <c r="H11" s="21">
        <v>87.63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12.75">
      <c r="A12" s="22" t="s">
        <v>54</v>
      </c>
      <c r="B12" s="128"/>
      <c r="C12" s="24">
        <f t="shared" ref="C12:F12" si="0">C11/25.4</f>
        <v>3.3500000000000005</v>
      </c>
      <c r="D12" s="24">
        <f t="shared" si="0"/>
        <v>0.20984251968503939</v>
      </c>
      <c r="E12" s="24">
        <f t="shared" si="0"/>
        <v>0.28346456692913385</v>
      </c>
      <c r="F12" s="96">
        <f t="shared" si="0"/>
        <v>3.7641732283464568</v>
      </c>
      <c r="G12" s="140"/>
      <c r="H12" s="26">
        <f>H11/25.4</f>
        <v>3.45</v>
      </c>
      <c r="R12" s="1"/>
      <c r="S12" s="1"/>
      <c r="T12" s="1"/>
      <c r="U12" s="1"/>
      <c r="V12" s="1"/>
      <c r="W12" s="1"/>
      <c r="X12" s="1"/>
      <c r="Y12" s="1"/>
      <c r="Z12" s="1"/>
    </row>
    <row r="13" spans="1:26" ht="12.75">
      <c r="A13" s="89"/>
      <c r="B13" s="85" t="s">
        <v>55</v>
      </c>
      <c r="C13" s="124"/>
      <c r="D13" s="141" t="s">
        <v>56</v>
      </c>
      <c r="E13" s="27">
        <v>9.7999999999999997E-3</v>
      </c>
      <c r="F13" s="27">
        <v>2.5000000000000001E-3</v>
      </c>
      <c r="G13" s="27">
        <v>-1.6999999999999999E-3</v>
      </c>
      <c r="H13" s="28">
        <v>0</v>
      </c>
      <c r="R13" s="1"/>
      <c r="S13" s="1"/>
      <c r="T13" s="1"/>
      <c r="U13" s="1"/>
      <c r="V13" s="1"/>
      <c r="W13" s="1"/>
      <c r="X13" s="1"/>
      <c r="Y13" s="1"/>
      <c r="Z13" s="1"/>
    </row>
    <row r="14" spans="1:26" ht="12.75">
      <c r="A14" s="124"/>
      <c r="B14" s="128"/>
      <c r="C14" s="135"/>
      <c r="D14" s="142" t="s">
        <v>57</v>
      </c>
      <c r="E14" s="30">
        <v>0</v>
      </c>
      <c r="F14" s="30">
        <v>0</v>
      </c>
      <c r="G14" s="30">
        <v>-3.3E-3</v>
      </c>
      <c r="H14" s="31">
        <v>-3.8999999999999998E-3</v>
      </c>
      <c r="R14" s="1"/>
      <c r="S14" s="1"/>
      <c r="T14" s="1"/>
      <c r="U14" s="1"/>
      <c r="V14" s="1"/>
      <c r="W14" s="1"/>
      <c r="X14" s="1"/>
      <c r="Y14" s="1"/>
      <c r="Z14" s="1"/>
    </row>
    <row r="15" spans="1:26" ht="24">
      <c r="A15" s="1"/>
      <c r="B15" s="90" t="s">
        <v>58</v>
      </c>
      <c r="C15" s="143"/>
      <c r="D15" s="143"/>
      <c r="E15" s="32" t="s">
        <v>59</v>
      </c>
      <c r="F15" s="32" t="s">
        <v>60</v>
      </c>
      <c r="G15" s="32" t="s">
        <v>61</v>
      </c>
      <c r="H15" s="33" t="s">
        <v>62</v>
      </c>
      <c r="R15" s="1"/>
      <c r="S15" s="1"/>
      <c r="T15" s="1"/>
      <c r="U15" s="1"/>
      <c r="V15" s="1"/>
      <c r="W15" s="1"/>
      <c r="X15" s="1"/>
      <c r="Y15" s="1"/>
      <c r="Z15" s="1"/>
    </row>
    <row r="16" spans="1:26" ht="12.75">
      <c r="A16" s="1"/>
      <c r="B16" s="91" t="s">
        <v>63</v>
      </c>
      <c r="C16" s="143"/>
      <c r="D16" s="144"/>
      <c r="E16" s="34"/>
      <c r="F16" s="35"/>
      <c r="G16" s="35"/>
      <c r="H16" s="35"/>
      <c r="I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>
      <c r="A17" s="1"/>
      <c r="B17" s="88"/>
      <c r="C17" s="131"/>
      <c r="D17" s="131"/>
      <c r="E17" s="131"/>
      <c r="F17" s="131"/>
      <c r="G17" s="131"/>
      <c r="H17" s="132"/>
      <c r="I17" s="1"/>
      <c r="J17" s="1"/>
      <c r="K17" s="1"/>
      <c r="L17" s="1"/>
      <c r="M17" s="1"/>
      <c r="N17" s="1"/>
      <c r="O17" s="1"/>
      <c r="P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>
      <c r="A18" s="1"/>
      <c r="B18" s="29" t="s">
        <v>64</v>
      </c>
      <c r="C18" s="133" t="s">
        <v>65</v>
      </c>
      <c r="D18" s="124"/>
      <c r="E18" s="124"/>
      <c r="F18" s="124"/>
      <c r="G18" s="124"/>
      <c r="H18" s="12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>
      <c r="A19" s="1"/>
      <c r="B19" s="29"/>
      <c r="C19" s="93"/>
      <c r="D19" s="124"/>
      <c r="E19" s="124"/>
      <c r="F19" s="124"/>
      <c r="G19" s="124"/>
      <c r="H19" s="125"/>
      <c r="I19" s="1"/>
      <c r="J19" s="1"/>
      <c r="K19" s="1"/>
      <c r="L19" s="1"/>
      <c r="M19" s="1"/>
      <c r="N19" s="3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>
      <c r="A20" s="1"/>
      <c r="B20" s="36"/>
      <c r="C20" s="94"/>
      <c r="D20" s="135"/>
      <c r="E20" s="135"/>
      <c r="F20" s="135"/>
      <c r="G20" s="135"/>
      <c r="H20" s="136"/>
      <c r="I20" s="1"/>
      <c r="J20" s="1"/>
      <c r="K20" s="1"/>
      <c r="L20" s="1"/>
      <c r="M20" s="1"/>
      <c r="N20" s="3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>
      <c r="A22" s="34" t="s">
        <v>66</v>
      </c>
      <c r="B22" s="34" t="s">
        <v>67</v>
      </c>
      <c r="I22" s="1"/>
      <c r="J22" s="1"/>
      <c r="K22" s="1"/>
      <c r="L22" s="1"/>
      <c r="M22" s="1"/>
      <c r="N22" s="1"/>
      <c r="O22" s="3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>
      <c r="A23" s="1"/>
      <c r="B23" s="34" t="s">
        <v>68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>
      <c r="A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>
      <c r="A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>
      <c r="A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7">
    <mergeCell ref="B2:H2"/>
    <mergeCell ref="B3:H3"/>
    <mergeCell ref="H4:H5"/>
    <mergeCell ref="B6:H6"/>
    <mergeCell ref="B9:H9"/>
    <mergeCell ref="F10:G10"/>
    <mergeCell ref="B11:B12"/>
    <mergeCell ref="C18:H18"/>
    <mergeCell ref="C19:H19"/>
    <mergeCell ref="C20:H20"/>
    <mergeCell ref="F11:G11"/>
    <mergeCell ref="F12:G12"/>
    <mergeCell ref="A13:A14"/>
    <mergeCell ref="B13:C14"/>
    <mergeCell ref="B15:D15"/>
    <mergeCell ref="B16:D16"/>
    <mergeCell ref="B17:H17"/>
  </mergeCells>
  <conditionalFormatting sqref="F8">
    <cfRule type="cellIs" dxfId="17" priority="5" operator="between">
      <formula>20.3</formula>
      <formula>26.4</formula>
    </cfRule>
    <cfRule type="cellIs" dxfId="16" priority="6" operator="notBetween">
      <formula>20.3</formula>
      <formula>26.4</formula>
    </cfRule>
  </conditionalFormatting>
  <conditionalFormatting sqref="G8">
    <cfRule type="cellIs" dxfId="15" priority="3" operator="between">
      <formula>2</formula>
      <formula>3.7</formula>
    </cfRule>
    <cfRule type="cellIs" dxfId="14" priority="4" operator="notBetween">
      <formula>2</formula>
      <formula>3.7</formula>
    </cfRule>
  </conditionalFormatting>
  <conditionalFormatting sqref="H8">
    <cfRule type="cellIs" dxfId="13" priority="1" operator="between">
      <formula>69.5</formula>
      <formula>82.3</formula>
    </cfRule>
    <cfRule type="cellIs" dxfId="12" priority="2" operator="notBetween">
      <formula>69.5</formula>
      <formula>82.3</formula>
    </cfRule>
  </conditionalFormatting>
  <hyperlinks>
    <hyperlink ref="B15" r:id="rId1" xr:uid="{00000000-0004-0000-0100-000000000000}"/>
    <hyperlink ref="C18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9"/>
  <sheetViews>
    <sheetView workbookViewId="0">
      <selection activeCell="C22" sqref="C22"/>
    </sheetView>
  </sheetViews>
  <sheetFormatPr defaultColWidth="12.7109375" defaultRowHeight="15.75" customHeight="1"/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>
      <c r="A2" s="1"/>
      <c r="B2" s="83"/>
      <c r="C2" s="122"/>
      <c r="D2" s="122"/>
      <c r="E2" s="122"/>
      <c r="F2" s="122"/>
      <c r="G2" s="122"/>
      <c r="H2" s="12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>
      <c r="A3" s="1"/>
      <c r="B3" s="84"/>
      <c r="C3" s="124"/>
      <c r="D3" s="124"/>
      <c r="E3" s="124"/>
      <c r="F3" s="124"/>
      <c r="G3" s="124"/>
      <c r="H3" s="125"/>
      <c r="I3" s="1"/>
      <c r="J3" s="1"/>
      <c r="K3" s="1"/>
      <c r="L3" s="1"/>
      <c r="R3" s="1"/>
      <c r="S3" s="1"/>
      <c r="T3" s="1"/>
      <c r="U3" s="1"/>
      <c r="V3" s="1"/>
      <c r="W3" s="1"/>
      <c r="X3" s="1"/>
      <c r="Y3" s="1"/>
      <c r="Z3" s="1"/>
    </row>
    <row r="4" spans="1:26" ht="35.25">
      <c r="A4" s="1"/>
      <c r="B4" s="3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9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>
      <c r="A5" s="1"/>
      <c r="B5" s="6">
        <v>3.512</v>
      </c>
      <c r="C5" s="8">
        <f>C12</f>
        <v>3.2338582677165357</v>
      </c>
      <c r="D5" s="7">
        <v>5.8310000000000002E-3</v>
      </c>
      <c r="E5" s="8">
        <f>D12</f>
        <v>0.13897637795275591</v>
      </c>
      <c r="F5" s="8">
        <f>PI()*(D12^2)/4</f>
        <v>1.5169520699174257E-2</v>
      </c>
      <c r="G5" s="7">
        <v>1</v>
      </c>
      <c r="H5" s="13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>
      <c r="A6" s="1"/>
      <c r="B6" s="85"/>
      <c r="C6" s="124"/>
      <c r="D6" s="124"/>
      <c r="E6" s="124"/>
      <c r="F6" s="124"/>
      <c r="G6" s="124"/>
      <c r="H6" s="125"/>
      <c r="I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5.25">
      <c r="A7" s="1" t="s">
        <v>37</v>
      </c>
      <c r="B7" s="3" t="s">
        <v>38</v>
      </c>
      <c r="C7" s="4" t="s">
        <v>39</v>
      </c>
      <c r="D7" s="4" t="s">
        <v>40</v>
      </c>
      <c r="E7" s="4" t="s">
        <v>41</v>
      </c>
      <c r="F7" s="10" t="s">
        <v>42</v>
      </c>
      <c r="G7" s="10" t="s">
        <v>43</v>
      </c>
      <c r="H7" s="5" t="s">
        <v>44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>
      <c r="A8" s="1"/>
      <c r="B8" s="6">
        <f>H12</f>
        <v>3.3307086614173227</v>
      </c>
      <c r="C8" s="14">
        <f>ABS((F12/2)-(H12/2))</f>
        <v>0.10255905511811036</v>
      </c>
      <c r="D8" s="7">
        <f>E12</f>
        <v>0.25196850393700793</v>
      </c>
      <c r="E8" s="8">
        <f>C8*D8</f>
        <v>2.5841651683303404E-2</v>
      </c>
      <c r="F8" s="8">
        <f>((E5-C8)/E5)*100</f>
        <v>26.203966005665634</v>
      </c>
      <c r="G8" s="8">
        <f>((B8-C5)/C5)*100</f>
        <v>2.9948867786705486</v>
      </c>
      <c r="H8" s="16">
        <f>(((D5*G5)+F5)/E8)*100</f>
        <v>81.26617043113751</v>
      </c>
      <c r="I8" s="1" t="s">
        <v>69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>
      <c r="A9" s="1"/>
      <c r="B9" s="85"/>
      <c r="C9" s="124"/>
      <c r="D9" s="124"/>
      <c r="E9" s="124"/>
      <c r="F9" s="124"/>
      <c r="G9" s="124"/>
      <c r="H9" s="125"/>
      <c r="I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5.25">
      <c r="A10" s="17" t="s">
        <v>45</v>
      </c>
      <c r="B10" s="3" t="s">
        <v>46</v>
      </c>
      <c r="C10" s="4" t="s">
        <v>47</v>
      </c>
      <c r="D10" s="4" t="s">
        <v>48</v>
      </c>
      <c r="E10" s="10" t="s">
        <v>49</v>
      </c>
      <c r="F10" s="92" t="s">
        <v>50</v>
      </c>
      <c r="G10" s="138"/>
      <c r="H10" s="5" t="s">
        <v>51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ht="12.75">
      <c r="A11" s="18" t="s">
        <v>52</v>
      </c>
      <c r="B11" s="85" t="s">
        <v>70</v>
      </c>
      <c r="C11" s="20">
        <v>82.14</v>
      </c>
      <c r="D11" s="20">
        <v>3.53</v>
      </c>
      <c r="E11" s="20">
        <v>6.4</v>
      </c>
      <c r="F11" s="95">
        <v>89.81</v>
      </c>
      <c r="G11" s="139"/>
      <c r="H11" s="21">
        <v>84.6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12.75">
      <c r="A12" s="22" t="s">
        <v>54</v>
      </c>
      <c r="B12" s="128"/>
      <c r="C12" s="24">
        <f t="shared" ref="C12:F12" si="0">C11/25.4</f>
        <v>3.2338582677165357</v>
      </c>
      <c r="D12" s="24">
        <f t="shared" si="0"/>
        <v>0.13897637795275591</v>
      </c>
      <c r="E12" s="24">
        <f t="shared" si="0"/>
        <v>0.25196850393700793</v>
      </c>
      <c r="F12" s="96">
        <f t="shared" si="0"/>
        <v>3.5358267716535434</v>
      </c>
      <c r="G12" s="140"/>
      <c r="H12" s="26">
        <f>H11/25.4</f>
        <v>3.3307086614173227</v>
      </c>
      <c r="R12" s="1"/>
      <c r="S12" s="1"/>
      <c r="T12" s="1"/>
      <c r="U12" s="1"/>
      <c r="V12" s="1"/>
      <c r="W12" s="1"/>
      <c r="X12" s="1"/>
      <c r="Y12" s="1"/>
      <c r="Z12" s="1"/>
    </row>
    <row r="13" spans="1:26" ht="12.75">
      <c r="A13" s="89"/>
      <c r="B13" s="85" t="s">
        <v>55</v>
      </c>
      <c r="C13" s="124"/>
      <c r="D13" s="141" t="s">
        <v>56</v>
      </c>
      <c r="E13" s="27">
        <v>9.7999999999999997E-3</v>
      </c>
      <c r="F13" s="27">
        <v>2.5000000000000001E-3</v>
      </c>
      <c r="G13" s="27">
        <v>-1.6999999999999999E-3</v>
      </c>
      <c r="H13" s="28">
        <v>0</v>
      </c>
      <c r="R13" s="1"/>
      <c r="S13" s="1"/>
      <c r="T13" s="1"/>
      <c r="U13" s="1"/>
      <c r="V13" s="1"/>
      <c r="W13" s="1"/>
      <c r="X13" s="1"/>
      <c r="Y13" s="1"/>
      <c r="Z13" s="1"/>
    </row>
    <row r="14" spans="1:26" ht="12.75">
      <c r="A14" s="124"/>
      <c r="B14" s="128"/>
      <c r="C14" s="135"/>
      <c r="D14" s="142" t="s">
        <v>57</v>
      </c>
      <c r="E14" s="30">
        <v>0</v>
      </c>
      <c r="F14" s="30">
        <v>0</v>
      </c>
      <c r="G14" s="30">
        <v>-3.3E-3</v>
      </c>
      <c r="H14" s="31">
        <v>-3.8999999999999998E-3</v>
      </c>
      <c r="R14" s="1"/>
      <c r="S14" s="1"/>
      <c r="T14" s="1"/>
      <c r="U14" s="1"/>
      <c r="V14" s="1"/>
      <c r="W14" s="1"/>
      <c r="X14" s="1"/>
      <c r="Y14" s="1"/>
      <c r="Z14" s="1"/>
    </row>
    <row r="15" spans="1:26" ht="24">
      <c r="A15" s="1"/>
      <c r="B15" s="90" t="s">
        <v>58</v>
      </c>
      <c r="C15" s="143"/>
      <c r="D15" s="143"/>
      <c r="E15" s="32" t="s">
        <v>59</v>
      </c>
      <c r="F15" s="32" t="s">
        <v>60</v>
      </c>
      <c r="G15" s="32" t="s">
        <v>61</v>
      </c>
      <c r="H15" s="33" t="s">
        <v>62</v>
      </c>
      <c r="R15" s="1"/>
      <c r="S15" s="1"/>
      <c r="T15" s="1"/>
      <c r="U15" s="1"/>
      <c r="V15" s="1"/>
      <c r="W15" s="1"/>
      <c r="X15" s="1"/>
      <c r="Y15" s="1"/>
      <c r="Z15" s="1"/>
    </row>
    <row r="16" spans="1:26" ht="12.75">
      <c r="A16" s="1"/>
      <c r="B16" s="91" t="s">
        <v>63</v>
      </c>
      <c r="C16" s="143"/>
      <c r="D16" s="144"/>
      <c r="E16" s="34"/>
      <c r="F16" s="35"/>
      <c r="G16" s="35"/>
      <c r="H16" s="35"/>
      <c r="I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>
      <c r="A17" s="1"/>
      <c r="B17" s="88"/>
      <c r="C17" s="131"/>
      <c r="D17" s="131"/>
      <c r="E17" s="131"/>
      <c r="F17" s="131"/>
      <c r="G17" s="131"/>
      <c r="H17" s="132"/>
      <c r="I17" s="1"/>
      <c r="J17" s="1"/>
      <c r="K17" s="1"/>
      <c r="L17" s="1"/>
      <c r="M17" s="1"/>
      <c r="N17" s="1"/>
      <c r="O17" s="1"/>
      <c r="P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>
      <c r="A18" s="1"/>
      <c r="B18" s="29" t="s">
        <v>64</v>
      </c>
      <c r="C18" s="133" t="s">
        <v>65</v>
      </c>
      <c r="D18" s="124"/>
      <c r="E18" s="124"/>
      <c r="F18" s="124"/>
      <c r="G18" s="124"/>
      <c r="H18" s="12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>
      <c r="A19" s="1"/>
      <c r="B19" s="29"/>
      <c r="C19" s="93"/>
      <c r="D19" s="124"/>
      <c r="E19" s="124"/>
      <c r="F19" s="124"/>
      <c r="G19" s="124"/>
      <c r="H19" s="125"/>
      <c r="I19" s="1"/>
      <c r="J19" s="1"/>
      <c r="K19" s="1"/>
      <c r="L19" s="1"/>
      <c r="M19" s="1"/>
      <c r="N19" s="3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>
      <c r="A20" s="1"/>
      <c r="B20" s="36"/>
      <c r="C20" s="94"/>
      <c r="D20" s="135"/>
      <c r="E20" s="135"/>
      <c r="F20" s="135"/>
      <c r="G20" s="135"/>
      <c r="H20" s="136"/>
      <c r="I20" s="1"/>
      <c r="J20" s="1"/>
      <c r="K20" s="1"/>
      <c r="L20" s="1"/>
      <c r="M20" s="1"/>
      <c r="N20" s="3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>
      <c r="A22" s="34" t="s">
        <v>66</v>
      </c>
      <c r="B22" s="34" t="s">
        <v>67</v>
      </c>
      <c r="I22" s="1"/>
      <c r="J22" s="1"/>
      <c r="K22" s="1"/>
      <c r="L22" s="1"/>
      <c r="M22" s="1"/>
      <c r="N22" s="1"/>
      <c r="O22" s="3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>
      <c r="A23" s="1"/>
      <c r="B23" s="34" t="s">
        <v>68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>
      <c r="A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>
      <c r="A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>
      <c r="A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7">
    <mergeCell ref="B2:H2"/>
    <mergeCell ref="B3:H3"/>
    <mergeCell ref="H4:H5"/>
    <mergeCell ref="B6:H6"/>
    <mergeCell ref="B9:H9"/>
    <mergeCell ref="F10:G10"/>
    <mergeCell ref="B11:B12"/>
    <mergeCell ref="C18:H18"/>
    <mergeCell ref="C19:H19"/>
    <mergeCell ref="C20:H20"/>
    <mergeCell ref="F11:G11"/>
    <mergeCell ref="F12:G12"/>
    <mergeCell ref="A13:A14"/>
    <mergeCell ref="B13:C14"/>
    <mergeCell ref="B15:D15"/>
    <mergeCell ref="B16:D16"/>
    <mergeCell ref="B17:H17"/>
  </mergeCells>
  <conditionalFormatting sqref="F8">
    <cfRule type="cellIs" dxfId="11" priority="5" operator="between">
      <formula>20.3</formula>
      <formula>26.4</formula>
    </cfRule>
    <cfRule type="cellIs" dxfId="10" priority="6" operator="notBetween">
      <formula>20.3</formula>
      <formula>26.4</formula>
    </cfRule>
  </conditionalFormatting>
  <conditionalFormatting sqref="G8">
    <cfRule type="cellIs" dxfId="9" priority="3" operator="between">
      <formula>2</formula>
      <formula>3.7</formula>
    </cfRule>
    <cfRule type="cellIs" dxfId="8" priority="4" operator="notBetween">
      <formula>2</formula>
      <formula>3.7</formula>
    </cfRule>
  </conditionalFormatting>
  <conditionalFormatting sqref="H8">
    <cfRule type="cellIs" dxfId="7" priority="1" operator="between">
      <formula>69.5</formula>
      <formula>82.3</formula>
    </cfRule>
    <cfRule type="cellIs" dxfId="6" priority="2" operator="notBetween">
      <formula>69.5</formula>
      <formula>82.3</formula>
    </cfRule>
  </conditionalFormatting>
  <hyperlinks>
    <hyperlink ref="B15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9"/>
  <sheetViews>
    <sheetView workbookViewId="0"/>
  </sheetViews>
  <sheetFormatPr defaultColWidth="12.7109375" defaultRowHeight="15.75" customHeight="1"/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>
      <c r="A2" s="1"/>
      <c r="B2" s="83"/>
      <c r="C2" s="122"/>
      <c r="D2" s="122"/>
      <c r="E2" s="122"/>
      <c r="F2" s="122"/>
      <c r="G2" s="122"/>
      <c r="H2" s="12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>
      <c r="A3" s="1"/>
      <c r="B3" s="84"/>
      <c r="C3" s="124"/>
      <c r="D3" s="124"/>
      <c r="E3" s="124"/>
      <c r="F3" s="124"/>
      <c r="G3" s="124"/>
      <c r="H3" s="125"/>
      <c r="I3" s="1"/>
      <c r="J3" s="1"/>
      <c r="K3" s="1"/>
      <c r="L3" s="1"/>
      <c r="R3" s="1"/>
      <c r="S3" s="1"/>
      <c r="T3" s="1"/>
      <c r="U3" s="1"/>
      <c r="V3" s="1"/>
      <c r="W3" s="1"/>
      <c r="X3" s="1"/>
      <c r="Y3" s="1"/>
      <c r="Z3" s="1"/>
    </row>
    <row r="4" spans="1:26" ht="35.25">
      <c r="A4" s="1"/>
      <c r="B4" s="3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97"/>
      <c r="I4" s="1"/>
      <c r="J4" s="1"/>
      <c r="K4" s="1"/>
      <c r="L4" s="1"/>
      <c r="M4" s="1" t="s">
        <v>71</v>
      </c>
      <c r="N4" s="1" t="s">
        <v>72</v>
      </c>
      <c r="O4" s="1" t="s">
        <v>73</v>
      </c>
      <c r="P4" s="1" t="s">
        <v>74</v>
      </c>
      <c r="Q4" s="1" t="s">
        <v>33</v>
      </c>
      <c r="R4" s="1"/>
      <c r="S4" s="1"/>
      <c r="T4" s="1"/>
      <c r="U4" s="1"/>
      <c r="V4" s="1"/>
      <c r="W4" s="1"/>
      <c r="X4" s="1"/>
      <c r="Y4" s="1"/>
      <c r="Z4" s="1"/>
    </row>
    <row r="5" spans="1:26" ht="12.75">
      <c r="A5" s="1"/>
      <c r="B5" s="6">
        <v>5.6369999999999996</v>
      </c>
      <c r="C5" s="8">
        <f>C12</f>
        <v>5.3590551181102368</v>
      </c>
      <c r="D5" s="7">
        <v>0</v>
      </c>
      <c r="E5" s="8">
        <f>D12</f>
        <v>0.13897637795275591</v>
      </c>
      <c r="F5" s="8">
        <f>PI()*(D12^2)/4</f>
        <v>1.5169520699174257E-2</v>
      </c>
      <c r="G5" s="7">
        <v>0</v>
      </c>
      <c r="H5" s="137"/>
      <c r="I5" s="1"/>
      <c r="J5" s="1"/>
      <c r="K5" s="1"/>
      <c r="L5" s="1"/>
      <c r="M5" s="1">
        <v>6.02</v>
      </c>
      <c r="N5" s="1">
        <v>5.6</v>
      </c>
      <c r="O5" s="1">
        <f>M5-N5</f>
        <v>0.41999999999999993</v>
      </c>
      <c r="P5" s="1">
        <f>PI()*((O5^2)/4)</f>
        <v>0.13854423602330984</v>
      </c>
      <c r="Q5" s="1">
        <f>0.076*(6.019-5.653)</f>
        <v>2.7816000000000042E-2</v>
      </c>
      <c r="R5" s="1"/>
      <c r="S5" s="1"/>
      <c r="T5" s="1"/>
      <c r="U5" s="1"/>
      <c r="V5" s="1"/>
      <c r="W5" s="1"/>
      <c r="X5" s="1"/>
      <c r="Y5" s="1"/>
      <c r="Z5" s="1"/>
    </row>
    <row r="6" spans="1:26" ht="12.75">
      <c r="A6" s="1"/>
      <c r="B6" s="85"/>
      <c r="C6" s="124"/>
      <c r="D6" s="124"/>
      <c r="E6" s="124"/>
      <c r="F6" s="124"/>
      <c r="G6" s="124"/>
      <c r="H6" s="125"/>
      <c r="I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8.5">
      <c r="A7" s="1" t="s">
        <v>37</v>
      </c>
      <c r="B7" s="3" t="s">
        <v>38</v>
      </c>
      <c r="C7" s="4" t="s">
        <v>39</v>
      </c>
      <c r="D7" s="4" t="s">
        <v>40</v>
      </c>
      <c r="E7" s="4" t="s">
        <v>41</v>
      </c>
      <c r="F7" s="10" t="s">
        <v>42</v>
      </c>
      <c r="G7" s="10" t="s">
        <v>43</v>
      </c>
      <c r="H7" s="5" t="s">
        <v>44</v>
      </c>
      <c r="I7" s="1"/>
      <c r="K7" s="1"/>
      <c r="L7" s="1"/>
      <c r="M7" s="1" t="s">
        <v>75</v>
      </c>
      <c r="N7" s="1" t="s">
        <v>76</v>
      </c>
      <c r="O7" s="1" t="s">
        <v>77</v>
      </c>
      <c r="P7" s="1" t="s">
        <v>78</v>
      </c>
      <c r="Q7" s="1" t="s">
        <v>79</v>
      </c>
      <c r="R7" s="1"/>
      <c r="S7" s="1"/>
      <c r="T7" s="1"/>
      <c r="U7" s="1"/>
      <c r="V7" s="1"/>
      <c r="W7" s="1"/>
      <c r="X7" s="1"/>
      <c r="Y7" s="1"/>
      <c r="Z7" s="1"/>
    </row>
    <row r="8" spans="1:26" ht="12.75">
      <c r="A8" s="1"/>
      <c r="B8" s="6">
        <f>H12</f>
        <v>5.5118110236220472</v>
      </c>
      <c r="C8" s="14">
        <f>(F12/2)-(H12/2)</f>
        <v>0.10039370078740184</v>
      </c>
      <c r="D8" s="7">
        <f>E12</f>
        <v>0.19685039370078741</v>
      </c>
      <c r="E8" s="8">
        <f>C8*D8</f>
        <v>1.9762539525079104E-2</v>
      </c>
      <c r="F8" s="8">
        <f>((E5-C8)/E5)*100</f>
        <v>27.76203966005647</v>
      </c>
      <c r="G8" s="8">
        <f>((B8-C5)/C5)*100</f>
        <v>2.8504260946223803</v>
      </c>
      <c r="H8" s="16">
        <f>(((D5*G5)+F5)/E8)*100</f>
        <v>76.758964504150882</v>
      </c>
      <c r="I8" s="1"/>
      <c r="J8" s="1"/>
      <c r="K8" s="1"/>
      <c r="L8" s="1"/>
      <c r="M8" s="1">
        <f>O5-(0.1*O5)</f>
        <v>0.37799999999999995</v>
      </c>
      <c r="N8" s="1">
        <f>(0.05*N5)+N5</f>
        <v>5.88</v>
      </c>
      <c r="O8" s="1">
        <f>(P5+(2*Q5))/0.85</f>
        <v>0.22844263061565873</v>
      </c>
      <c r="P8" s="1">
        <f>O8/M8</f>
        <v>0.6043455836393089</v>
      </c>
      <c r="Q8" s="1">
        <f>(0.076*2)+O5</f>
        <v>0.57199999999999995</v>
      </c>
      <c r="R8" s="1"/>
      <c r="S8" s="1"/>
      <c r="T8" s="1"/>
      <c r="U8" s="1"/>
      <c r="V8" s="1"/>
      <c r="W8" s="1"/>
      <c r="X8" s="1"/>
      <c r="Y8" s="1"/>
      <c r="Z8" s="1"/>
    </row>
    <row r="9" spans="1:26" ht="12.75">
      <c r="A9" s="1"/>
      <c r="B9" s="85"/>
      <c r="C9" s="124"/>
      <c r="D9" s="124"/>
      <c r="E9" s="124"/>
      <c r="F9" s="124"/>
      <c r="G9" s="124"/>
      <c r="H9" s="125"/>
      <c r="I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5.25">
      <c r="A10" s="17" t="s">
        <v>45</v>
      </c>
      <c r="B10" s="3" t="s">
        <v>46</v>
      </c>
      <c r="C10" s="4" t="s">
        <v>47</v>
      </c>
      <c r="D10" s="4" t="s">
        <v>48</v>
      </c>
      <c r="E10" s="10" t="s">
        <v>49</v>
      </c>
      <c r="F10" s="92" t="s">
        <v>50</v>
      </c>
      <c r="G10" s="138"/>
      <c r="H10" s="5" t="s">
        <v>51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ht="12.75">
      <c r="A11" s="18" t="s">
        <v>52</v>
      </c>
      <c r="B11" s="85" t="s">
        <v>80</v>
      </c>
      <c r="C11" s="23">
        <v>136.12</v>
      </c>
      <c r="D11" s="23">
        <v>3.53</v>
      </c>
      <c r="E11" s="23">
        <v>5</v>
      </c>
      <c r="F11" s="23">
        <v>145.1</v>
      </c>
      <c r="G11" s="25"/>
      <c r="H11" s="23">
        <v>140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12.75">
      <c r="A12" s="22" t="s">
        <v>54</v>
      </c>
      <c r="B12" s="128"/>
      <c r="C12" s="24">
        <f t="shared" ref="C12:F12" si="0">C11/25.4</f>
        <v>5.3590551181102368</v>
      </c>
      <c r="D12" s="24">
        <f t="shared" si="0"/>
        <v>0.13897637795275591</v>
      </c>
      <c r="E12" s="24">
        <f t="shared" si="0"/>
        <v>0.19685039370078741</v>
      </c>
      <c r="F12" s="96">
        <f t="shared" si="0"/>
        <v>5.7125984251968509</v>
      </c>
      <c r="G12" s="140"/>
      <c r="H12" s="26">
        <f>H11/25.4</f>
        <v>5.5118110236220472</v>
      </c>
      <c r="R12" s="1"/>
      <c r="S12" s="1"/>
      <c r="T12" s="1"/>
      <c r="U12" s="1"/>
      <c r="V12" s="1"/>
      <c r="W12" s="1"/>
      <c r="X12" s="1"/>
      <c r="Y12" s="1"/>
      <c r="Z12" s="1"/>
    </row>
    <row r="13" spans="1:26" ht="12.75">
      <c r="A13" s="89"/>
      <c r="B13" s="85" t="s">
        <v>55</v>
      </c>
      <c r="C13" s="124"/>
      <c r="D13" s="141" t="s">
        <v>56</v>
      </c>
      <c r="E13" s="27">
        <v>9.7999999999999997E-3</v>
      </c>
      <c r="F13" s="27">
        <v>2.5000000000000001E-3</v>
      </c>
      <c r="G13" s="27">
        <v>-1.6999999999999999E-3</v>
      </c>
      <c r="H13" s="28">
        <v>0</v>
      </c>
      <c r="R13" s="1"/>
      <c r="S13" s="1"/>
      <c r="T13" s="1"/>
      <c r="U13" s="1"/>
      <c r="V13" s="1"/>
      <c r="W13" s="1"/>
      <c r="X13" s="1"/>
      <c r="Y13" s="1"/>
      <c r="Z13" s="1"/>
    </row>
    <row r="14" spans="1:26" ht="12.75">
      <c r="A14" s="124"/>
      <c r="B14" s="128"/>
      <c r="C14" s="135"/>
      <c r="D14" s="142" t="s">
        <v>57</v>
      </c>
      <c r="E14" s="30">
        <v>0</v>
      </c>
      <c r="F14" s="30">
        <v>0</v>
      </c>
      <c r="G14" s="30">
        <v>-3.3E-3</v>
      </c>
      <c r="H14" s="31">
        <v>-3.8999999999999998E-3</v>
      </c>
      <c r="R14" s="1"/>
      <c r="S14" s="1"/>
      <c r="T14" s="1"/>
      <c r="U14" s="1"/>
      <c r="V14" s="1"/>
      <c r="W14" s="1"/>
      <c r="X14" s="1"/>
      <c r="Y14" s="1"/>
      <c r="Z14" s="1"/>
    </row>
    <row r="15" spans="1:26" ht="24">
      <c r="A15" s="1"/>
      <c r="B15" s="90" t="s">
        <v>58</v>
      </c>
      <c r="C15" s="143"/>
      <c r="D15" s="143"/>
      <c r="E15" s="32" t="s">
        <v>59</v>
      </c>
      <c r="F15" s="32" t="s">
        <v>60</v>
      </c>
      <c r="G15" s="32" t="s">
        <v>61</v>
      </c>
      <c r="H15" s="33" t="s">
        <v>62</v>
      </c>
      <c r="R15" s="1"/>
      <c r="S15" s="1"/>
      <c r="T15" s="1"/>
      <c r="U15" s="1"/>
      <c r="V15" s="1"/>
      <c r="W15" s="1"/>
      <c r="X15" s="1"/>
      <c r="Y15" s="1"/>
      <c r="Z15" s="1"/>
    </row>
    <row r="16" spans="1:26" ht="12.75">
      <c r="A16" s="1"/>
      <c r="B16" s="91" t="s">
        <v>63</v>
      </c>
      <c r="C16" s="143"/>
      <c r="D16" s="144"/>
      <c r="E16" s="35"/>
      <c r="F16" s="35"/>
      <c r="G16" s="35"/>
      <c r="H16" s="35"/>
      <c r="I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>
      <c r="A17" s="1"/>
      <c r="B17" s="88"/>
      <c r="C17" s="131"/>
      <c r="D17" s="131"/>
      <c r="E17" s="131"/>
      <c r="F17" s="131"/>
      <c r="G17" s="131"/>
      <c r="H17" s="132"/>
      <c r="I17" s="1"/>
      <c r="J17" s="1"/>
      <c r="K17" s="1"/>
      <c r="L17" s="1"/>
      <c r="M17" s="1"/>
      <c r="N17" s="1"/>
      <c r="O17" s="1"/>
      <c r="P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>
      <c r="A18" s="1"/>
      <c r="B18" s="29" t="s">
        <v>64</v>
      </c>
      <c r="C18" s="133" t="s">
        <v>81</v>
      </c>
      <c r="D18" s="124"/>
      <c r="E18" s="124"/>
      <c r="F18" s="124"/>
      <c r="G18" s="124"/>
      <c r="H18" s="12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>
      <c r="A19" s="1"/>
      <c r="B19" s="29"/>
      <c r="C19" s="93"/>
      <c r="D19" s="124"/>
      <c r="E19" s="124"/>
      <c r="F19" s="124"/>
      <c r="G19" s="124"/>
      <c r="H19" s="125"/>
      <c r="I19" s="1"/>
      <c r="J19" s="1"/>
      <c r="K19" s="1"/>
      <c r="L19" s="1"/>
      <c r="M19" s="1"/>
      <c r="N19" s="3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>
      <c r="A20" s="1"/>
      <c r="B20" s="36"/>
      <c r="C20" s="94"/>
      <c r="D20" s="135"/>
      <c r="E20" s="135"/>
      <c r="F20" s="135"/>
      <c r="G20" s="135"/>
      <c r="H20" s="136"/>
      <c r="I20" s="1"/>
      <c r="J20" s="1"/>
      <c r="K20" s="1"/>
      <c r="L20" s="1"/>
      <c r="M20" s="1"/>
      <c r="N20" s="3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>
      <c r="A22" s="34" t="s">
        <v>66</v>
      </c>
      <c r="B22" s="34" t="s">
        <v>67</v>
      </c>
      <c r="I22" s="1"/>
      <c r="J22" s="1"/>
      <c r="K22" s="1"/>
      <c r="L22" s="1"/>
      <c r="M22" s="1"/>
      <c r="N22" s="1"/>
      <c r="O22" s="3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>
      <c r="A23" s="1"/>
      <c r="B23" s="34" t="s">
        <v>68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>
      <c r="A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>
      <c r="A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>
      <c r="A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6">
    <mergeCell ref="B2:H2"/>
    <mergeCell ref="B3:H3"/>
    <mergeCell ref="H4:H5"/>
    <mergeCell ref="B6:H6"/>
    <mergeCell ref="B9:H9"/>
    <mergeCell ref="F10:G10"/>
    <mergeCell ref="F12:G12"/>
    <mergeCell ref="C19:H19"/>
    <mergeCell ref="C20:H20"/>
    <mergeCell ref="B11:B12"/>
    <mergeCell ref="C18:H18"/>
    <mergeCell ref="A13:A14"/>
    <mergeCell ref="B13:C14"/>
    <mergeCell ref="B15:D15"/>
    <mergeCell ref="B16:D16"/>
    <mergeCell ref="B17:H17"/>
  </mergeCells>
  <conditionalFormatting sqref="F8">
    <cfRule type="cellIs" dxfId="5" priority="5" operator="between">
      <formula>10</formula>
      <formula>25</formula>
    </cfRule>
    <cfRule type="cellIs" dxfId="4" priority="6" operator="notBetween">
      <formula>10</formula>
      <formula>25</formula>
    </cfRule>
  </conditionalFormatting>
  <conditionalFormatting sqref="G8">
    <cfRule type="cellIs" dxfId="3" priority="3" operator="between">
      <formula>1</formula>
      <formula>5</formula>
    </cfRule>
    <cfRule type="cellIs" dxfId="2" priority="4" operator="notBetween">
      <formula>1</formula>
      <formula>5</formula>
    </cfRule>
  </conditionalFormatting>
  <conditionalFormatting sqref="H8">
    <cfRule type="cellIs" dxfId="1" priority="1" operator="between">
      <formula>60</formula>
      <formula>85</formula>
    </cfRule>
    <cfRule type="cellIs" dxfId="0" priority="2" operator="notBetween">
      <formula>60</formula>
      <formula>85</formula>
    </cfRule>
  </conditionalFormatting>
  <hyperlinks>
    <hyperlink ref="B15" r:id="rId1" xr:uid="{00000000-0004-0000-0300-000000000000}"/>
    <hyperlink ref="C18" r:id="rId2" xr:uid="{00000000-0004-0000-0300-000001000000}"/>
  </hyperlink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J24"/>
  <sheetViews>
    <sheetView tabSelected="1" workbookViewId="0">
      <selection activeCell="H5" sqref="H5"/>
    </sheetView>
  </sheetViews>
  <sheetFormatPr defaultColWidth="12.7109375" defaultRowHeight="15.75" customHeight="1"/>
  <sheetData>
    <row r="2" spans="1:10" ht="15.75" customHeight="1">
      <c r="B2" s="100" t="s">
        <v>82</v>
      </c>
      <c r="C2" s="145"/>
      <c r="D2" s="145"/>
      <c r="E2" s="145"/>
      <c r="F2" s="145"/>
      <c r="G2" s="145"/>
      <c r="H2" s="145"/>
      <c r="I2" s="146"/>
    </row>
    <row r="3" spans="1:10" ht="12.75">
      <c r="B3" s="101"/>
      <c r="C3" s="145"/>
      <c r="D3" s="145"/>
      <c r="E3" s="145"/>
      <c r="F3" s="145"/>
      <c r="G3" s="145"/>
      <c r="H3" s="145"/>
      <c r="I3" s="146"/>
    </row>
    <row r="4" spans="1:10" ht="35.25">
      <c r="B4" s="41" t="s">
        <v>83</v>
      </c>
      <c r="C4" s="42" t="s">
        <v>84</v>
      </c>
      <c r="D4" s="42" t="s">
        <v>85</v>
      </c>
      <c r="E4" s="42" t="s">
        <v>86</v>
      </c>
      <c r="F4" s="42" t="s">
        <v>87</v>
      </c>
      <c r="G4" s="42" t="s">
        <v>88</v>
      </c>
      <c r="H4" s="42" t="s">
        <v>89</v>
      </c>
      <c r="I4" s="43" t="s">
        <v>90</v>
      </c>
    </row>
    <row r="5" spans="1:10" ht="12.75">
      <c r="B5" s="12">
        <f>'6061-T6 Tank Specs'!B5-2*C5</f>
        <v>3.625</v>
      </c>
      <c r="C5" s="8">
        <f>'6061-T6 Tank Specs'!C5</f>
        <v>0.1875</v>
      </c>
      <c r="D5" s="8">
        <f>'6061-T6 Tank Specs'!H5</f>
        <v>360</v>
      </c>
      <c r="E5" s="7">
        <v>8</v>
      </c>
      <c r="F5" s="7">
        <v>56000</v>
      </c>
      <c r="G5" s="7">
        <v>30000</v>
      </c>
      <c r="H5" s="7">
        <v>45000</v>
      </c>
      <c r="I5" s="9">
        <v>40000</v>
      </c>
    </row>
    <row r="6" spans="1:10" ht="12.75">
      <c r="B6" s="101"/>
      <c r="C6" s="145"/>
      <c r="D6" s="145"/>
      <c r="E6" s="145"/>
      <c r="F6" s="145"/>
      <c r="G6" s="145"/>
      <c r="H6" s="145"/>
      <c r="I6" s="146"/>
    </row>
    <row r="7" spans="1:10" ht="46.5">
      <c r="B7" s="44" t="s">
        <v>91</v>
      </c>
      <c r="C7" s="45" t="s">
        <v>92</v>
      </c>
      <c r="D7" s="45" t="s">
        <v>93</v>
      </c>
      <c r="E7" s="46" t="s">
        <v>94</v>
      </c>
      <c r="F7" s="45" t="s">
        <v>95</v>
      </c>
      <c r="G7" s="102"/>
      <c r="H7" s="145"/>
      <c r="I7" s="146"/>
    </row>
    <row r="8" spans="1:10" ht="12.75">
      <c r="B8" s="47">
        <f>((PI()/4)*(B5^2)*D5)/E5</f>
        <v>464.42802334025674</v>
      </c>
      <c r="C8" s="48">
        <v>4</v>
      </c>
      <c r="D8" s="49">
        <f>G5/C8</f>
        <v>7500</v>
      </c>
      <c r="E8" s="50">
        <f>B8/(2*C5*D8)</f>
        <v>0.1651299638543135</v>
      </c>
      <c r="F8" s="49">
        <v>16</v>
      </c>
      <c r="G8" s="147"/>
      <c r="H8" s="135"/>
      <c r="I8" s="136"/>
    </row>
    <row r="9" spans="1:10" ht="12.75">
      <c r="B9" s="103"/>
      <c r="C9" s="135"/>
      <c r="D9" s="135"/>
      <c r="E9" s="135"/>
      <c r="F9" s="135"/>
      <c r="G9" s="135"/>
      <c r="H9" s="135"/>
      <c r="I9" s="136"/>
    </row>
    <row r="10" spans="1:10" ht="24">
      <c r="B10" s="41" t="s">
        <v>96</v>
      </c>
      <c r="C10" s="42" t="s">
        <v>97</v>
      </c>
      <c r="D10" s="45" t="s">
        <v>98</v>
      </c>
      <c r="E10" s="45" t="s">
        <v>99</v>
      </c>
      <c r="F10" s="45" t="s">
        <v>100</v>
      </c>
      <c r="G10" s="45" t="s">
        <v>101</v>
      </c>
      <c r="H10" s="45" t="s">
        <v>102</v>
      </c>
      <c r="I10" s="51" t="s">
        <v>103</v>
      </c>
    </row>
    <row r="11" spans="1:10" ht="12.75">
      <c r="B11" s="6">
        <v>4</v>
      </c>
      <c r="C11" s="8">
        <f>F5/B11</f>
        <v>14000</v>
      </c>
      <c r="D11" s="8">
        <f>B8/(C5*C11)</f>
        <v>0.17692496127247875</v>
      </c>
      <c r="E11" s="8">
        <f>D11-(1.3/F8)</f>
        <v>9.5674961272478751E-2</v>
      </c>
      <c r="F11" s="8">
        <f>((PI()/4)*D5*(B5^2))/(C5*(((B5+C5)*PI())-(E5*D11)))</f>
        <v>1876.1353375471399</v>
      </c>
      <c r="G11" s="8">
        <f>I5/F11</f>
        <v>21.320423532076326</v>
      </c>
      <c r="H11" s="8">
        <f>((B5^2)*D5)/((E11^2)*E5)</f>
        <v>64599.914826111184</v>
      </c>
      <c r="I11" s="15">
        <f>(H5*0.75)/H11</f>
        <v>0.52244650926936365</v>
      </c>
      <c r="J11" s="34"/>
    </row>
    <row r="12" spans="1:10" ht="12.75">
      <c r="B12" s="98"/>
      <c r="C12" s="135"/>
      <c r="D12" s="135"/>
      <c r="E12" s="135"/>
      <c r="F12" s="135"/>
      <c r="G12" s="135"/>
      <c r="H12" s="135"/>
      <c r="I12" s="136"/>
    </row>
    <row r="13" spans="1:10" ht="24">
      <c r="A13" s="2" t="s">
        <v>104</v>
      </c>
      <c r="B13" s="41" t="s">
        <v>103</v>
      </c>
      <c r="C13" s="42" t="s">
        <v>102</v>
      </c>
      <c r="D13" s="45" t="s">
        <v>98</v>
      </c>
      <c r="E13" s="45" t="s">
        <v>99</v>
      </c>
      <c r="F13" s="45" t="s">
        <v>97</v>
      </c>
      <c r="G13" s="45" t="s">
        <v>96</v>
      </c>
      <c r="H13" s="45" t="s">
        <v>100</v>
      </c>
      <c r="I13" s="51" t="s">
        <v>101</v>
      </c>
    </row>
    <row r="14" spans="1:10" ht="12.75">
      <c r="B14" s="6">
        <v>4</v>
      </c>
      <c r="C14" s="8">
        <f>(H5*0.75)/B14</f>
        <v>8437.5</v>
      </c>
      <c r="D14" s="8">
        <f>E14+(1.3/F8)</f>
        <v>0.34598256946083028</v>
      </c>
      <c r="E14" s="8">
        <f>SQRT(((B5^2)*D5)/(C14*E5))</f>
        <v>0.26473256946083029</v>
      </c>
      <c r="F14" s="8">
        <f>B8/(D14*C5)</f>
        <v>7159.1741216174923</v>
      </c>
      <c r="G14" s="8">
        <f>F5/F14</f>
        <v>7.8221313029536654</v>
      </c>
      <c r="H14" s="8">
        <f>((PI()/4)*D5*(B5^2))/(C5*((B5+C5)*PI()-(E5*D14)))</f>
        <v>2151.6562939055516</v>
      </c>
      <c r="I14" s="15">
        <f>I5/H14</f>
        <v>18.59032974425228</v>
      </c>
    </row>
    <row r="15" spans="1:10" ht="12.75">
      <c r="B15" s="98"/>
      <c r="C15" s="135"/>
      <c r="D15" s="135"/>
      <c r="E15" s="135"/>
      <c r="F15" s="135"/>
      <c r="G15" s="135"/>
      <c r="H15" s="135"/>
      <c r="I15" s="136"/>
    </row>
    <row r="16" spans="1:10" ht="24">
      <c r="B16" s="41" t="s">
        <v>101</v>
      </c>
      <c r="C16" s="42" t="s">
        <v>100</v>
      </c>
      <c r="D16" s="45" t="s">
        <v>98</v>
      </c>
      <c r="E16" s="45" t="s">
        <v>99</v>
      </c>
      <c r="F16" s="45" t="s">
        <v>102</v>
      </c>
      <c r="G16" s="45" t="s">
        <v>103</v>
      </c>
      <c r="H16" s="45" t="s">
        <v>97</v>
      </c>
      <c r="I16" s="51" t="s">
        <v>96</v>
      </c>
    </row>
    <row r="17" spans="2:9" ht="12.75">
      <c r="B17" s="6">
        <v>6.5</v>
      </c>
      <c r="C17" s="8">
        <f>I5/B17</f>
        <v>6153.8461538461543</v>
      </c>
      <c r="D17" s="8">
        <f>((PI()*(B5+C5))-(((B5^2)*D5*PI())/(4*C5*C17)))/E5</f>
        <v>1.0946609620814967</v>
      </c>
      <c r="E17" s="8">
        <f>D17-(1.3/F8)</f>
        <v>1.0134109620814966</v>
      </c>
      <c r="F17" s="8">
        <f>((B5^2)*D5)/((E17^2)*E5)</f>
        <v>575.78101384889192</v>
      </c>
      <c r="G17" s="8">
        <f>(H5*0.75)/F17</f>
        <v>58.61603489561633</v>
      </c>
      <c r="H17" s="8">
        <f>B8/(D17*C5)</f>
        <v>2262.7549018508762</v>
      </c>
      <c r="I17" s="15">
        <f>F5/H17</f>
        <v>24.748592944906857</v>
      </c>
    </row>
    <row r="18" spans="2:9" ht="12.75">
      <c r="B18" s="98"/>
      <c r="C18" s="135"/>
      <c r="D18" s="135"/>
      <c r="E18" s="135"/>
      <c r="F18" s="135"/>
      <c r="G18" s="135"/>
      <c r="H18" s="135"/>
      <c r="I18" s="136"/>
    </row>
    <row r="19" spans="2:9" ht="24">
      <c r="B19" s="41" t="s">
        <v>98</v>
      </c>
      <c r="C19" s="42" t="s">
        <v>99</v>
      </c>
      <c r="D19" s="45" t="s">
        <v>100</v>
      </c>
      <c r="E19" s="45" t="s">
        <v>101</v>
      </c>
      <c r="F19" s="45" t="s">
        <v>102</v>
      </c>
      <c r="G19" s="45" t="s">
        <v>103</v>
      </c>
      <c r="H19" s="45" t="s">
        <v>97</v>
      </c>
      <c r="I19" s="51" t="s">
        <v>96</v>
      </c>
    </row>
    <row r="20" spans="2:9" ht="12.75">
      <c r="B20" s="6">
        <v>0.375</v>
      </c>
      <c r="C20" s="8">
        <f>B20-(1.3/F8)</f>
        <v>0.29375000000000001</v>
      </c>
      <c r="D20" s="8">
        <f>((PI()/4)*D5*(B5^2))/(C5*((B5+C5)*PI()-(E5*B20)))</f>
        <v>2207.2947456483089</v>
      </c>
      <c r="E20" s="8">
        <f>I5/D20</f>
        <v>18.121730266816506</v>
      </c>
      <c r="F20" s="8">
        <f>((B5^2)*D5)/((C20^2)*E5)</f>
        <v>6852.8746038931631</v>
      </c>
      <c r="G20" s="8">
        <f>(H5*0.75)/F20</f>
        <v>4.9249405469678962</v>
      </c>
      <c r="H20" s="8">
        <f>B8/(B20*C5)</f>
        <v>6605.1985541725408</v>
      </c>
      <c r="I20" s="15">
        <f>F5/H20</f>
        <v>8.4781705713637461</v>
      </c>
    </row>
    <row r="21" spans="2:9" ht="12.75">
      <c r="B21" s="98"/>
      <c r="C21" s="135"/>
      <c r="D21" s="135"/>
      <c r="E21" s="135"/>
      <c r="F21" s="135"/>
      <c r="G21" s="135"/>
      <c r="H21" s="135"/>
      <c r="I21" s="136"/>
    </row>
    <row r="23" spans="2:9" ht="24">
      <c r="B23" s="99" t="s">
        <v>105</v>
      </c>
      <c r="C23" s="148"/>
      <c r="E23" s="64" t="s">
        <v>106</v>
      </c>
    </row>
    <row r="24" spans="2:9" ht="12.75">
      <c r="B24" s="149" t="s">
        <v>107</v>
      </c>
      <c r="C24" s="150"/>
      <c r="D24" s="148"/>
      <c r="E24" s="151" t="s">
        <v>108</v>
      </c>
    </row>
  </sheetData>
  <mergeCells count="11">
    <mergeCell ref="B18:I18"/>
    <mergeCell ref="B21:I21"/>
    <mergeCell ref="B23:C23"/>
    <mergeCell ref="B24:D24"/>
    <mergeCell ref="B2:I2"/>
    <mergeCell ref="B3:I3"/>
    <mergeCell ref="B6:I6"/>
    <mergeCell ref="G7:I8"/>
    <mergeCell ref="B9:I9"/>
    <mergeCell ref="B12:I12"/>
    <mergeCell ref="B15:I15"/>
  </mergeCells>
  <conditionalFormatting sqref="G11 I11 G14 I14 G17 I17 E20 G20 I20">
    <cfRule type="colorScale" priority="1">
      <colorScale>
        <cfvo type="formula" val="1.9"/>
        <cfvo type="formula" val="2.9"/>
        <cfvo type="formula" val="3.9"/>
        <color rgb="FFE67C73"/>
        <color rgb="FFFFD666"/>
        <color rgb="FF57BB8A"/>
      </colorScale>
    </cfRule>
  </conditionalFormatting>
  <hyperlinks>
    <hyperlink ref="E24" r:id="rId1" xr:uid="{00000000-0004-0000-0400-000000000000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defaultColWidth="12.7109375" defaultRowHeight="15.75" customHeight="1"/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>
      <c r="A2" s="2"/>
      <c r="B2" s="118" t="s">
        <v>109</v>
      </c>
      <c r="C2" s="145"/>
      <c r="D2" s="145"/>
      <c r="E2" s="145"/>
      <c r="F2" s="145"/>
      <c r="G2" s="145"/>
      <c r="H2" s="145"/>
      <c r="I2" s="146"/>
      <c r="J2" s="2"/>
      <c r="K2" s="119" t="s">
        <v>110</v>
      </c>
      <c r="L2" s="123"/>
      <c r="M2" s="2"/>
      <c r="N2" s="2">
        <f t="shared" ref="N2:O2" si="0">PI()*N3^2</f>
        <v>12.566370614359172</v>
      </c>
      <c r="O2" s="2">
        <f t="shared" si="0"/>
        <v>11.044661672776616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>
      <c r="A3" s="2"/>
      <c r="B3" s="120" t="s">
        <v>111</v>
      </c>
      <c r="C3" s="135"/>
      <c r="D3" s="135"/>
      <c r="E3" s="135"/>
      <c r="F3" s="135"/>
      <c r="G3" s="135"/>
      <c r="H3" s="135"/>
      <c r="I3" s="136"/>
      <c r="J3" s="2"/>
      <c r="K3" s="112"/>
      <c r="L3" s="146"/>
      <c r="M3" s="2"/>
      <c r="N3" s="2">
        <f>'Final Calculations'!B5/2</f>
        <v>2</v>
      </c>
      <c r="O3" s="2">
        <f>'Final Calculations'!G5/2</f>
        <v>1.875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5.25">
      <c r="A4" s="2"/>
      <c r="B4" s="52" t="s">
        <v>2</v>
      </c>
      <c r="C4" s="53" t="s">
        <v>112</v>
      </c>
      <c r="D4" s="53" t="s">
        <v>113</v>
      </c>
      <c r="E4" s="54" t="s">
        <v>114</v>
      </c>
      <c r="F4" s="55" t="s">
        <v>115</v>
      </c>
      <c r="G4" s="56" t="s">
        <v>116</v>
      </c>
      <c r="H4" s="55" t="s">
        <v>117</v>
      </c>
      <c r="I4" s="57" t="s">
        <v>118</v>
      </c>
      <c r="J4" s="2"/>
      <c r="K4" s="126"/>
      <c r="L4" s="125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>
      <c r="A5" s="2"/>
      <c r="B5" s="12">
        <f>'6061-T6 Tank Specs'!B5</f>
        <v>4</v>
      </c>
      <c r="C5" s="58">
        <f>'6061-T6 Tank Specs'!C5</f>
        <v>0.1875</v>
      </c>
      <c r="D5" s="58">
        <f>(B5-C5)/2</f>
        <v>1.90625</v>
      </c>
      <c r="E5" s="7">
        <v>0.125</v>
      </c>
      <c r="F5" s="8">
        <f>B5-(2*E5)/2</f>
        <v>3.875</v>
      </c>
      <c r="G5" s="59">
        <f>B5-2*E5</f>
        <v>3.75</v>
      </c>
      <c r="H5" s="8">
        <f>F5/2</f>
        <v>1.9375</v>
      </c>
      <c r="I5" s="15">
        <f>F5/4</f>
        <v>0.96875</v>
      </c>
      <c r="J5" s="2"/>
      <c r="K5" s="126"/>
      <c r="L5" s="125"/>
      <c r="M5" s="2"/>
      <c r="N5" s="2" t="s">
        <v>119</v>
      </c>
      <c r="O5" s="2" t="s">
        <v>120</v>
      </c>
      <c r="P5" s="2">
        <f>(PI()^2*10000000*O6)/(31.25^2)</f>
        <v>288959.11973746913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>
      <c r="A6" s="2"/>
      <c r="B6" s="121" t="s">
        <v>121</v>
      </c>
      <c r="C6" s="145"/>
      <c r="D6" s="145"/>
      <c r="E6" s="145"/>
      <c r="F6" s="145"/>
      <c r="G6" s="145"/>
      <c r="H6" s="145"/>
      <c r="I6" s="146"/>
      <c r="J6" s="2"/>
      <c r="K6" s="126"/>
      <c r="L6" s="125"/>
      <c r="M6" s="2"/>
      <c r="N6" s="2">
        <f>10000*1000</f>
        <v>10000000</v>
      </c>
      <c r="O6" s="2">
        <f>PI()/4*(N3^4-O3^4)</f>
        <v>2.8591484410203494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5.25">
      <c r="A7" s="2"/>
      <c r="B7" s="60" t="s">
        <v>122</v>
      </c>
      <c r="C7" s="55" t="s">
        <v>4</v>
      </c>
      <c r="D7" s="55" t="s">
        <v>123</v>
      </c>
      <c r="E7" s="55" t="s">
        <v>124</v>
      </c>
      <c r="F7" s="61" t="s">
        <v>125</v>
      </c>
      <c r="G7" s="114"/>
      <c r="H7" s="145"/>
      <c r="I7" s="146"/>
      <c r="J7" s="2"/>
      <c r="K7" s="126"/>
      <c r="L7" s="12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>
      <c r="A8" s="2"/>
      <c r="B8" s="12">
        <f>'6061-T6 Tank Specs'!H5</f>
        <v>360</v>
      </c>
      <c r="C8" s="8">
        <f>'6061-T6 Tank Specs'!D5</f>
        <v>40000</v>
      </c>
      <c r="D8" s="8">
        <v>0</v>
      </c>
      <c r="E8" s="8">
        <v>0</v>
      </c>
      <c r="F8" s="13">
        <f>1/6*(2+((G5)/(2*G5/4))^2)</f>
        <v>1</v>
      </c>
      <c r="G8" s="152"/>
      <c r="H8" s="143"/>
      <c r="I8" s="153"/>
      <c r="J8" s="2"/>
      <c r="K8" s="126"/>
      <c r="L8" s="125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>
      <c r="A9" s="2"/>
      <c r="B9" s="101"/>
      <c r="C9" s="145"/>
      <c r="D9" s="145"/>
      <c r="E9" s="145"/>
      <c r="F9" s="145"/>
      <c r="G9" s="145"/>
      <c r="H9" s="145"/>
      <c r="I9" s="146"/>
      <c r="J9" s="2"/>
      <c r="K9" s="128"/>
      <c r="L9" s="136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>
      <c r="A10" s="2"/>
      <c r="B10" s="113" t="s">
        <v>126</v>
      </c>
      <c r="C10" s="122"/>
      <c r="D10" s="122"/>
      <c r="E10" s="122"/>
      <c r="F10" s="122"/>
      <c r="G10" s="122"/>
      <c r="H10" s="122"/>
      <c r="I10" s="123"/>
      <c r="J10" s="2"/>
      <c r="K10" s="111"/>
      <c r="L10" s="123"/>
      <c r="M10" s="2">
        <v>40000</v>
      </c>
      <c r="N10" s="2">
        <f>4000/(N2-O2)</f>
        <v>2628.6235762274323</v>
      </c>
      <c r="O10" s="2">
        <f>M10/N10</f>
        <v>15.217089415825564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5.25">
      <c r="A11" s="2"/>
      <c r="B11" s="62" t="s">
        <v>9</v>
      </c>
      <c r="C11" s="56" t="s">
        <v>10</v>
      </c>
      <c r="D11" s="115"/>
      <c r="E11" s="124"/>
      <c r="F11" s="124"/>
      <c r="G11" s="124"/>
      <c r="H11" s="124"/>
      <c r="I11" s="125"/>
      <c r="J11" s="2"/>
      <c r="K11" s="112"/>
      <c r="L11" s="146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>
      <c r="A12" s="2"/>
      <c r="B12" s="63">
        <f>B8*D5/C5</f>
        <v>3660</v>
      </c>
      <c r="C12" s="65">
        <f>B12/2</f>
        <v>1830</v>
      </c>
      <c r="D12" s="152"/>
      <c r="E12" s="143"/>
      <c r="F12" s="143"/>
      <c r="G12" s="143"/>
      <c r="H12" s="143"/>
      <c r="I12" s="153"/>
      <c r="J12" s="2"/>
      <c r="K12" s="126"/>
      <c r="L12" s="125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>
      <c r="A13" s="2"/>
      <c r="B13" s="109"/>
      <c r="C13" s="122"/>
      <c r="D13" s="122"/>
      <c r="E13" s="122"/>
      <c r="F13" s="122"/>
      <c r="G13" s="122"/>
      <c r="H13" s="122"/>
      <c r="I13" s="123"/>
      <c r="J13" s="2"/>
      <c r="K13" s="126"/>
      <c r="L13" s="125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>
      <c r="A14" s="2"/>
      <c r="B14" s="62" t="s">
        <v>127</v>
      </c>
      <c r="C14" s="56" t="s">
        <v>128</v>
      </c>
      <c r="D14" s="115"/>
      <c r="E14" s="124"/>
      <c r="F14" s="124"/>
      <c r="G14" s="124"/>
      <c r="H14" s="124"/>
      <c r="I14" s="125"/>
      <c r="J14" s="2"/>
      <c r="K14" s="126"/>
      <c r="L14" s="125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>
      <c r="A15" s="2"/>
      <c r="B15" s="66">
        <f>C8/B12</f>
        <v>10.928961748633879</v>
      </c>
      <c r="C15" s="67">
        <f>C8/C12</f>
        <v>21.857923497267759</v>
      </c>
      <c r="D15" s="152"/>
      <c r="E15" s="143"/>
      <c r="F15" s="143"/>
      <c r="G15" s="143"/>
      <c r="H15" s="143"/>
      <c r="I15" s="153"/>
      <c r="J15" s="2"/>
      <c r="K15" s="126"/>
      <c r="L15" s="125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>
      <c r="A16" s="2"/>
      <c r="B16" s="109"/>
      <c r="C16" s="122"/>
      <c r="D16" s="122"/>
      <c r="E16" s="122"/>
      <c r="F16" s="122"/>
      <c r="G16" s="122"/>
      <c r="H16" s="122"/>
      <c r="I16" s="123"/>
      <c r="J16" s="2"/>
      <c r="K16" s="128"/>
      <c r="L16" s="136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>
      <c r="A17" s="2"/>
      <c r="B17" s="116" t="s">
        <v>129</v>
      </c>
      <c r="C17" s="124"/>
      <c r="D17" s="124"/>
      <c r="E17" s="124"/>
      <c r="F17" s="124"/>
      <c r="G17" s="124"/>
      <c r="H17" s="124"/>
      <c r="I17" s="125"/>
      <c r="J17" s="2"/>
      <c r="K17" s="111"/>
      <c r="L17" s="123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5.25">
      <c r="A18" s="2"/>
      <c r="B18" s="60" t="s">
        <v>130</v>
      </c>
      <c r="C18" s="55" t="s">
        <v>131</v>
      </c>
      <c r="D18" s="55" t="s">
        <v>132</v>
      </c>
      <c r="E18" s="55" t="s">
        <v>133</v>
      </c>
      <c r="F18" s="61" t="s">
        <v>134</v>
      </c>
      <c r="G18" s="112"/>
      <c r="H18" s="145"/>
      <c r="I18" s="146"/>
      <c r="J18" s="2"/>
      <c r="K18" s="112"/>
      <c r="L18" s="146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>
      <c r="A19" s="2"/>
      <c r="B19" s="12">
        <f>H5^2/I5</f>
        <v>3.875</v>
      </c>
      <c r="C19" s="8">
        <f>H5^2/I5</f>
        <v>3.875</v>
      </c>
      <c r="D19" s="8">
        <f>(B8*H5^2)/(2*I5*E5)</f>
        <v>5580</v>
      </c>
      <c r="E19" s="8">
        <f>(B8*H5^2)/(2*I5*E5)</f>
        <v>5580</v>
      </c>
      <c r="F19" s="13">
        <f>B8/4*((H5^2)/(I5*E5)+1)</f>
        <v>2880</v>
      </c>
      <c r="G19" s="128"/>
      <c r="H19" s="135"/>
      <c r="I19" s="136"/>
      <c r="J19" s="2"/>
      <c r="K19" s="126"/>
      <c r="L19" s="12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>
      <c r="A20" s="2"/>
      <c r="B20" s="85"/>
      <c r="C20" s="124"/>
      <c r="D20" s="124"/>
      <c r="E20" s="124"/>
      <c r="F20" s="124"/>
      <c r="G20" s="124"/>
      <c r="H20" s="124"/>
      <c r="I20" s="125"/>
      <c r="J20" s="2"/>
      <c r="K20" s="126"/>
      <c r="L20" s="12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>
      <c r="A21" s="2"/>
      <c r="B21" s="101"/>
      <c r="C21" s="154"/>
      <c r="D21" s="55" t="s">
        <v>127</v>
      </c>
      <c r="E21" s="55" t="s">
        <v>127</v>
      </c>
      <c r="F21" s="61" t="s">
        <v>127</v>
      </c>
      <c r="G21" s="114"/>
      <c r="H21" s="145"/>
      <c r="I21" s="146"/>
      <c r="J21" s="2"/>
      <c r="K21" s="126"/>
      <c r="L21" s="125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>
      <c r="A22" s="2"/>
      <c r="B22" s="128"/>
      <c r="C22" s="155"/>
      <c r="D22" s="68">
        <f>C8/D19</f>
        <v>7.1684587813620073</v>
      </c>
      <c r="E22" s="68">
        <f t="shared" ref="E22:F22" si="1">C8/E19</f>
        <v>7.1684587813620073</v>
      </c>
      <c r="F22" s="69">
        <f t="shared" si="1"/>
        <v>0</v>
      </c>
      <c r="G22" s="152"/>
      <c r="H22" s="143"/>
      <c r="I22" s="153"/>
      <c r="J22" s="2"/>
      <c r="K22" s="126"/>
      <c r="L22" s="125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>
      <c r="A23" s="2"/>
      <c r="B23" s="117"/>
      <c r="C23" s="145"/>
      <c r="D23" s="145"/>
      <c r="E23" s="145"/>
      <c r="F23" s="145"/>
      <c r="G23" s="145"/>
      <c r="H23" s="145"/>
      <c r="I23" s="146"/>
      <c r="J23" s="2"/>
      <c r="K23" s="128"/>
      <c r="L23" s="136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>
      <c r="A24" s="2"/>
      <c r="B24" s="113" t="s">
        <v>135</v>
      </c>
      <c r="C24" s="122"/>
      <c r="D24" s="122"/>
      <c r="E24" s="122"/>
      <c r="F24" s="122"/>
      <c r="G24" s="122"/>
      <c r="H24" s="122"/>
      <c r="I24" s="123"/>
      <c r="J24" s="2"/>
      <c r="K24" s="111"/>
      <c r="L24" s="123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5.25">
      <c r="A25" s="2"/>
      <c r="B25" s="62" t="s">
        <v>136</v>
      </c>
      <c r="C25" s="56" t="s">
        <v>137</v>
      </c>
      <c r="D25" s="56" t="s">
        <v>138</v>
      </c>
      <c r="E25" s="56" t="s">
        <v>139</v>
      </c>
      <c r="F25" s="70" t="s">
        <v>140</v>
      </c>
      <c r="G25" s="110"/>
      <c r="H25" s="156"/>
      <c r="I25" s="157"/>
      <c r="J25" s="2"/>
      <c r="K25" s="112"/>
      <c r="L25" s="146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>
      <c r="A26" s="2"/>
      <c r="B26" s="63">
        <f>I5^2/H5</f>
        <v>0.484375</v>
      </c>
      <c r="C26" s="59">
        <f>H5</f>
        <v>1.9375</v>
      </c>
      <c r="D26" s="59">
        <f>(B8*H5)/(2*E5)</f>
        <v>2790</v>
      </c>
      <c r="E26" s="59">
        <f>(B8*H5)/E5*(1-(H5^2)/(2*I5^2))</f>
        <v>-5580</v>
      </c>
      <c r="F26" s="65">
        <f>(B8*H5)/(4*E5)*((H5^2)/(I5)^2+1)</f>
        <v>6975</v>
      </c>
      <c r="G26" s="152"/>
      <c r="H26" s="143"/>
      <c r="I26" s="153"/>
      <c r="J26" s="2"/>
      <c r="K26" s="126"/>
      <c r="L26" s="125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>
      <c r="A27" s="2"/>
      <c r="B27" s="109"/>
      <c r="C27" s="122"/>
      <c r="D27" s="122"/>
      <c r="E27" s="122"/>
      <c r="F27" s="122"/>
      <c r="G27" s="122"/>
      <c r="H27" s="122"/>
      <c r="I27" s="123"/>
      <c r="J27" s="2"/>
      <c r="K27" s="126"/>
      <c r="L27" s="125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>
      <c r="A28" s="2"/>
      <c r="B28" s="85"/>
      <c r="C28" s="139"/>
      <c r="D28" s="56" t="s">
        <v>127</v>
      </c>
      <c r="E28" s="56" t="s">
        <v>127</v>
      </c>
      <c r="F28" s="70" t="s">
        <v>127</v>
      </c>
      <c r="G28" s="110"/>
      <c r="H28" s="156"/>
      <c r="I28" s="157"/>
      <c r="J28" s="2"/>
      <c r="K28" s="126"/>
      <c r="L28" s="125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>
      <c r="A29" s="2"/>
      <c r="B29" s="158"/>
      <c r="C29" s="144"/>
      <c r="D29" s="71">
        <f>C8/D26</f>
        <v>14.336917562724015</v>
      </c>
      <c r="E29" s="71">
        <f>ABS(C8/E26)</f>
        <v>7.1684587813620073</v>
      </c>
      <c r="F29" s="72">
        <f>D8/F26</f>
        <v>0</v>
      </c>
      <c r="G29" s="152"/>
      <c r="H29" s="143"/>
      <c r="I29" s="153"/>
      <c r="J29" s="2"/>
      <c r="K29" s="126"/>
      <c r="L29" s="125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>
      <c r="A30" s="2"/>
      <c r="B30" s="109"/>
      <c r="C30" s="122"/>
      <c r="D30" s="122"/>
      <c r="E30" s="122"/>
      <c r="F30" s="122"/>
      <c r="G30" s="122"/>
      <c r="H30" s="122"/>
      <c r="I30" s="123"/>
      <c r="J30" s="2"/>
      <c r="K30" s="128"/>
      <c r="L30" s="136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>
      <c r="A31" s="2"/>
      <c r="B31" s="17"/>
      <c r="C31" s="17"/>
      <c r="D31" s="17"/>
      <c r="E31" s="17"/>
      <c r="F31" s="17"/>
      <c r="G31" s="1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>
      <c r="A32" s="2"/>
      <c r="B32" s="106" t="s">
        <v>141</v>
      </c>
      <c r="C32" s="145"/>
      <c r="D32" s="145"/>
      <c r="E32" s="145"/>
      <c r="F32" s="145"/>
      <c r="G32" s="146"/>
      <c r="H32" s="2"/>
      <c r="I32" s="2"/>
      <c r="J32" s="2"/>
      <c r="K32" s="111"/>
      <c r="L32" s="123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5.25">
      <c r="A33" s="2"/>
      <c r="B33" s="60" t="s">
        <v>122</v>
      </c>
      <c r="C33" s="55" t="s">
        <v>2</v>
      </c>
      <c r="D33" s="55" t="s">
        <v>142</v>
      </c>
      <c r="E33" s="55" t="s">
        <v>143</v>
      </c>
      <c r="F33" s="55" t="s">
        <v>124</v>
      </c>
      <c r="G33" s="57" t="s">
        <v>144</v>
      </c>
      <c r="H33" s="2"/>
      <c r="I33" s="2"/>
      <c r="J33" s="2"/>
      <c r="K33" s="112"/>
      <c r="L33" s="146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>
      <c r="A34" s="2"/>
      <c r="B34" s="63">
        <f>B8</f>
        <v>360</v>
      </c>
      <c r="C34" s="59">
        <f>B5</f>
        <v>4</v>
      </c>
      <c r="D34" s="59">
        <f>E5</f>
        <v>0.125</v>
      </c>
      <c r="E34" s="59">
        <f>C8/1.5</f>
        <v>26666.666666666668</v>
      </c>
      <c r="F34" s="59">
        <f>E8</f>
        <v>0</v>
      </c>
      <c r="G34" s="73">
        <f>(C34-2*D34)/4</f>
        <v>0.9375</v>
      </c>
      <c r="H34" s="2"/>
      <c r="I34" s="2"/>
      <c r="J34" s="2"/>
      <c r="K34" s="126"/>
      <c r="L34" s="12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5.25">
      <c r="A35" s="2"/>
      <c r="B35" s="74" t="s">
        <v>145</v>
      </c>
      <c r="C35" s="75" t="s">
        <v>146</v>
      </c>
      <c r="D35" s="75" t="s">
        <v>147</v>
      </c>
      <c r="E35" s="75" t="s">
        <v>148</v>
      </c>
      <c r="F35" s="75" t="s">
        <v>124</v>
      </c>
      <c r="G35" s="76" t="s">
        <v>149</v>
      </c>
      <c r="H35" s="2"/>
      <c r="I35" s="2"/>
      <c r="J35" s="2"/>
      <c r="K35" s="126"/>
      <c r="L35" s="125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>
      <c r="A36" s="2"/>
      <c r="B36" s="12">
        <f>B34*0.00689476</f>
        <v>2.4821135999999999</v>
      </c>
      <c r="C36" s="8">
        <f t="shared" ref="C36:D36" si="2">C34*25.4</f>
        <v>101.6</v>
      </c>
      <c r="D36" s="8">
        <f t="shared" si="2"/>
        <v>3.1749999999999998</v>
      </c>
      <c r="E36" s="8">
        <f>E34*0.00689476</f>
        <v>183.86026666666666</v>
      </c>
      <c r="F36" s="8">
        <f>F34</f>
        <v>0</v>
      </c>
      <c r="G36" s="15">
        <f>G34*25.4</f>
        <v>23.8125</v>
      </c>
      <c r="H36" s="2"/>
      <c r="I36" s="2"/>
      <c r="J36" s="2"/>
      <c r="K36" s="126"/>
      <c r="L36" s="125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>
      <c r="A37" s="2"/>
      <c r="B37" s="85"/>
      <c r="C37" s="124"/>
      <c r="D37" s="124"/>
      <c r="E37" s="124"/>
      <c r="F37" s="124"/>
      <c r="G37" s="125"/>
      <c r="H37" s="2"/>
      <c r="I37" s="2"/>
      <c r="J37" s="2"/>
      <c r="K37" s="126"/>
      <c r="L37" s="125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5.25">
      <c r="A38" s="2"/>
      <c r="B38" s="60" t="s">
        <v>150</v>
      </c>
      <c r="C38" s="77" t="s">
        <v>151</v>
      </c>
      <c r="D38" s="55" t="s">
        <v>125</v>
      </c>
      <c r="E38" s="55" t="s">
        <v>152</v>
      </c>
      <c r="F38" s="104"/>
      <c r="G38" s="146"/>
      <c r="H38" s="2"/>
      <c r="I38" s="2"/>
      <c r="J38" s="2"/>
      <c r="K38" s="126"/>
      <c r="L38" s="125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>
      <c r="A39" s="2"/>
      <c r="B39" s="12">
        <f>C36-(2*D36)</f>
        <v>95.25</v>
      </c>
      <c r="C39" s="8">
        <f>B39/(2*G36)</f>
        <v>2</v>
      </c>
      <c r="D39" s="8">
        <f>1/6*(2+(C39)^2)</f>
        <v>1</v>
      </c>
      <c r="E39" s="13">
        <f>D39-0.09</f>
        <v>0.91</v>
      </c>
      <c r="F39" s="147"/>
      <c r="G39" s="136"/>
      <c r="H39" s="2"/>
      <c r="I39" s="2"/>
      <c r="J39" s="2"/>
      <c r="K39" s="126"/>
      <c r="L39" s="125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>
      <c r="A40" s="2"/>
      <c r="B40" s="85"/>
      <c r="C40" s="124"/>
      <c r="D40" s="124"/>
      <c r="E40" s="124"/>
      <c r="F40" s="124"/>
      <c r="G40" s="125"/>
      <c r="H40" s="2"/>
      <c r="I40" s="2"/>
      <c r="J40" s="2"/>
      <c r="K40" s="126"/>
      <c r="L40" s="125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35.25">
      <c r="A41" s="2"/>
      <c r="B41" s="60" t="s">
        <v>153</v>
      </c>
      <c r="C41" s="55" t="s">
        <v>154</v>
      </c>
      <c r="D41" s="104"/>
      <c r="E41" s="145"/>
      <c r="F41" s="145"/>
      <c r="G41" s="146"/>
      <c r="H41" s="2"/>
      <c r="I41" s="2"/>
      <c r="J41" s="2"/>
      <c r="K41" s="126"/>
      <c r="L41" s="125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>
      <c r="A42" s="2"/>
      <c r="B42" s="63">
        <f>(B36*C36*D39)/(2*E36*F36+2*B36*(D39-0.1))</f>
        <v>56.444444444444443</v>
      </c>
      <c r="C42" s="65">
        <f>(B36*B39*D39)/(2*E36*F36-0.2*B36)</f>
        <v>-476.25</v>
      </c>
      <c r="D42" s="159"/>
      <c r="E42" s="124"/>
      <c r="F42" s="124"/>
      <c r="G42" s="125"/>
      <c r="H42" s="2"/>
      <c r="I42" s="2"/>
      <c r="J42" s="2"/>
      <c r="K42" s="126"/>
      <c r="L42" s="125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35.25">
      <c r="A43" s="2"/>
      <c r="B43" s="74" t="s">
        <v>155</v>
      </c>
      <c r="C43" s="75" t="s">
        <v>156</v>
      </c>
      <c r="D43" s="159"/>
      <c r="E43" s="124"/>
      <c r="F43" s="124"/>
      <c r="G43" s="125"/>
      <c r="H43" s="2"/>
      <c r="I43" s="2"/>
      <c r="J43" s="2"/>
      <c r="K43" s="126"/>
      <c r="L43" s="125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>
      <c r="A44" s="2"/>
      <c r="B44" s="12">
        <f t="shared" ref="B44:C44" si="3">B42/25.4</f>
        <v>2.2222222222222223</v>
      </c>
      <c r="C44" s="13">
        <f t="shared" si="3"/>
        <v>-18.75</v>
      </c>
      <c r="D44" s="147"/>
      <c r="E44" s="135"/>
      <c r="F44" s="135"/>
      <c r="G44" s="136"/>
      <c r="H44" s="2"/>
      <c r="I44" s="2"/>
      <c r="J44" s="2"/>
      <c r="K44" s="126"/>
      <c r="L44" s="125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>
      <c r="A45" s="2"/>
      <c r="B45" s="85"/>
      <c r="C45" s="124"/>
      <c r="D45" s="124"/>
      <c r="E45" s="124"/>
      <c r="F45" s="124"/>
      <c r="G45" s="125"/>
      <c r="H45" s="2"/>
      <c r="I45" s="2"/>
      <c r="J45" s="2"/>
      <c r="K45" s="126"/>
      <c r="L45" s="125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>
      <c r="A46" s="2"/>
      <c r="B46" s="60" t="s">
        <v>127</v>
      </c>
      <c r="C46" s="55" t="s">
        <v>127</v>
      </c>
      <c r="D46" s="104"/>
      <c r="E46" s="145"/>
      <c r="F46" s="145"/>
      <c r="G46" s="146"/>
      <c r="H46" s="2"/>
      <c r="I46" s="2"/>
      <c r="J46" s="2"/>
      <c r="K46" s="126"/>
      <c r="L46" s="125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>
      <c r="A47" s="2"/>
      <c r="B47" s="78">
        <f>D34/B44</f>
        <v>5.6249999999999994E-2</v>
      </c>
      <c r="C47" s="79">
        <f>D34/C44</f>
        <v>-6.6666666666666671E-3</v>
      </c>
      <c r="D47" s="147"/>
      <c r="E47" s="135"/>
      <c r="F47" s="135"/>
      <c r="G47" s="136"/>
      <c r="H47" s="2"/>
      <c r="I47" s="2"/>
      <c r="J47" s="2"/>
      <c r="K47" s="126"/>
      <c r="L47" s="125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>
      <c r="A48" s="2"/>
      <c r="B48" s="105"/>
      <c r="C48" s="135"/>
      <c r="D48" s="135"/>
      <c r="E48" s="135"/>
      <c r="F48" s="135"/>
      <c r="G48" s="136"/>
      <c r="H48" s="2"/>
      <c r="I48" s="2"/>
      <c r="J48" s="2"/>
      <c r="K48" s="128"/>
      <c r="L48" s="136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>
      <c r="A50" s="2"/>
      <c r="B50" s="106" t="s">
        <v>157</v>
      </c>
      <c r="C50" s="145"/>
      <c r="D50" s="145"/>
      <c r="E50" s="145"/>
      <c r="F50" s="145"/>
      <c r="G50" s="146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5.25">
      <c r="A51" s="2"/>
      <c r="B51" s="60" t="s">
        <v>122</v>
      </c>
      <c r="C51" s="55" t="s">
        <v>2</v>
      </c>
      <c r="D51" s="55" t="s">
        <v>142</v>
      </c>
      <c r="E51" s="55" t="s">
        <v>143</v>
      </c>
      <c r="F51" s="55" t="s">
        <v>124</v>
      </c>
      <c r="G51" s="57" t="s">
        <v>144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>
      <c r="A52" s="2"/>
      <c r="B52" s="63">
        <f t="shared" ref="B52:C52" si="4">B34</f>
        <v>360</v>
      </c>
      <c r="C52" s="59">
        <f t="shared" si="4"/>
        <v>4</v>
      </c>
      <c r="D52" s="59">
        <f>C5</f>
        <v>0.1875</v>
      </c>
      <c r="E52" s="59">
        <f t="shared" ref="E52:G52" si="5">E34</f>
        <v>26666.666666666668</v>
      </c>
      <c r="F52" s="59">
        <f t="shared" si="5"/>
        <v>0</v>
      </c>
      <c r="G52" s="73">
        <f t="shared" si="5"/>
        <v>0.9375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35.25">
      <c r="A53" s="2"/>
      <c r="B53" s="74" t="s">
        <v>145</v>
      </c>
      <c r="C53" s="75" t="s">
        <v>146</v>
      </c>
      <c r="D53" s="75" t="s">
        <v>147</v>
      </c>
      <c r="E53" s="75" t="s">
        <v>148</v>
      </c>
      <c r="F53" s="75" t="s">
        <v>124</v>
      </c>
      <c r="G53" s="76" t="s">
        <v>149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>
      <c r="A54" s="2"/>
      <c r="B54" s="12">
        <f>B52*0.00689476</f>
        <v>2.4821135999999999</v>
      </c>
      <c r="C54" s="8">
        <f t="shared" ref="C54:D54" si="6">C52*25.4</f>
        <v>101.6</v>
      </c>
      <c r="D54" s="8">
        <f t="shared" si="6"/>
        <v>4.7624999999999993</v>
      </c>
      <c r="E54" s="8">
        <f>E52*0.00689476</f>
        <v>183.86026666666666</v>
      </c>
      <c r="F54" s="8">
        <f>F52</f>
        <v>0</v>
      </c>
      <c r="G54" s="15">
        <f>G52*25.4</f>
        <v>23.8125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>
      <c r="A55" s="2"/>
      <c r="B55" s="85"/>
      <c r="C55" s="124"/>
      <c r="D55" s="124"/>
      <c r="E55" s="124"/>
      <c r="F55" s="124"/>
      <c r="G55" s="125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5.25">
      <c r="A56" s="2"/>
      <c r="B56" s="60" t="s">
        <v>150</v>
      </c>
      <c r="C56" s="77" t="s">
        <v>158</v>
      </c>
      <c r="D56" s="55" t="s">
        <v>159</v>
      </c>
      <c r="E56" s="107"/>
      <c r="F56" s="145"/>
      <c r="G56" s="160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>
      <c r="A57" s="2"/>
      <c r="B57" s="12">
        <f>C54-(2*D54)</f>
        <v>92.074999999999989</v>
      </c>
      <c r="C57" s="8">
        <f>(C54-(2*D54))/2</f>
        <v>46.037499999999994</v>
      </c>
      <c r="D57" s="8">
        <f>C54/2</f>
        <v>50.8</v>
      </c>
      <c r="E57" s="161"/>
      <c r="F57" s="162"/>
      <c r="G57" s="16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>
      <c r="A58" s="2"/>
      <c r="B58" s="85"/>
      <c r="C58" s="124"/>
      <c r="D58" s="124"/>
      <c r="E58" s="124"/>
      <c r="F58" s="124"/>
      <c r="G58" s="125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35.25">
      <c r="A59" s="2"/>
      <c r="B59" s="60" t="s">
        <v>153</v>
      </c>
      <c r="C59" s="55" t="s">
        <v>154</v>
      </c>
      <c r="D59" s="55" t="s">
        <v>160</v>
      </c>
      <c r="E59" s="55" t="s">
        <v>161</v>
      </c>
      <c r="F59" s="108"/>
      <c r="G59" s="146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>
      <c r="A60" s="2"/>
      <c r="B60" s="63">
        <f>(B54*D57)/(E54*F54+0.4*B54)</f>
        <v>126.99999999999999</v>
      </c>
      <c r="C60" s="65">
        <f>(B54*C57)/(E54*F54-0.6*B54)</f>
        <v>-76.729166666666657</v>
      </c>
      <c r="D60" s="65" t="e">
        <f>D57*(1-EXP(-(B54)/(E54*F54)))</f>
        <v>#DIV/0!</v>
      </c>
      <c r="E60" s="65" t="e">
        <f>C57*(EXP((B54)/(E54*F54))-1)</f>
        <v>#DIV/0!</v>
      </c>
      <c r="F60" s="124"/>
      <c r="G60" s="125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35.25">
      <c r="A61" s="2"/>
      <c r="B61" s="74" t="s">
        <v>155</v>
      </c>
      <c r="C61" s="75" t="s">
        <v>156</v>
      </c>
      <c r="D61" s="75" t="s">
        <v>162</v>
      </c>
      <c r="E61" s="75" t="s">
        <v>163</v>
      </c>
      <c r="F61" s="124"/>
      <c r="G61" s="125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>
      <c r="A62" s="2"/>
      <c r="B62" s="12">
        <f t="shared" ref="B62:E62" si="7">B60/25.4</f>
        <v>5</v>
      </c>
      <c r="C62" s="13">
        <f t="shared" si="7"/>
        <v>-3.020833333333333</v>
      </c>
      <c r="D62" s="8" t="e">
        <f t="shared" si="7"/>
        <v>#DIV/0!</v>
      </c>
      <c r="E62" s="13" t="e">
        <f t="shared" si="7"/>
        <v>#DIV/0!</v>
      </c>
      <c r="F62" s="135"/>
      <c r="G62" s="136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>
      <c r="A63" s="2"/>
      <c r="B63" s="85"/>
      <c r="C63" s="124"/>
      <c r="D63" s="124"/>
      <c r="E63" s="124"/>
      <c r="F63" s="124"/>
      <c r="G63" s="125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>
      <c r="A64" s="2"/>
      <c r="B64" s="60" t="s">
        <v>127</v>
      </c>
      <c r="C64" s="55" t="s">
        <v>127</v>
      </c>
      <c r="D64" s="55" t="s">
        <v>127</v>
      </c>
      <c r="E64" s="55" t="s">
        <v>127</v>
      </c>
      <c r="F64" s="104"/>
      <c r="G64" s="146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>
      <c r="A65" s="2"/>
      <c r="B65" s="78">
        <f>D52/B62</f>
        <v>3.7499999999999999E-2</v>
      </c>
      <c r="C65" s="79">
        <f>D52/C62</f>
        <v>-6.2068965517241385E-2</v>
      </c>
      <c r="D65" s="80" t="e">
        <f>D52/D62</f>
        <v>#DIV/0!</v>
      </c>
      <c r="E65" s="79" t="e">
        <f>D52/E62</f>
        <v>#DIV/0!</v>
      </c>
      <c r="F65" s="147"/>
      <c r="G65" s="136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>
      <c r="A66" s="2"/>
      <c r="B66" s="105"/>
      <c r="C66" s="135"/>
      <c r="D66" s="135"/>
      <c r="E66" s="135"/>
      <c r="F66" s="135"/>
      <c r="G66" s="136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8">
    <mergeCell ref="B2:I2"/>
    <mergeCell ref="K2:L2"/>
    <mergeCell ref="B3:I3"/>
    <mergeCell ref="B6:I6"/>
    <mergeCell ref="G7:I8"/>
    <mergeCell ref="B9:I9"/>
    <mergeCell ref="B10:I10"/>
    <mergeCell ref="G18:I19"/>
    <mergeCell ref="G21:I22"/>
    <mergeCell ref="G25:I26"/>
    <mergeCell ref="D11:I12"/>
    <mergeCell ref="B13:I13"/>
    <mergeCell ref="D14:I15"/>
    <mergeCell ref="B16:I16"/>
    <mergeCell ref="B17:I17"/>
    <mergeCell ref="B20:I20"/>
    <mergeCell ref="B21:C22"/>
    <mergeCell ref="B23:I23"/>
    <mergeCell ref="B24:I24"/>
    <mergeCell ref="K32:L32"/>
    <mergeCell ref="K33:L48"/>
    <mergeCell ref="K3:L9"/>
    <mergeCell ref="K10:L10"/>
    <mergeCell ref="K11:L16"/>
    <mergeCell ref="K17:L17"/>
    <mergeCell ref="K18:L23"/>
    <mergeCell ref="K24:L24"/>
    <mergeCell ref="K25:L30"/>
    <mergeCell ref="B27:I27"/>
    <mergeCell ref="B28:C29"/>
    <mergeCell ref="G28:I29"/>
    <mergeCell ref="B30:I30"/>
    <mergeCell ref="B32:G32"/>
    <mergeCell ref="B63:G63"/>
    <mergeCell ref="F64:G65"/>
    <mergeCell ref="B66:G66"/>
    <mergeCell ref="B37:G37"/>
    <mergeCell ref="F38:G39"/>
    <mergeCell ref="B40:G40"/>
    <mergeCell ref="D41:G44"/>
    <mergeCell ref="B45:G45"/>
    <mergeCell ref="D46:G47"/>
    <mergeCell ref="B48:G48"/>
    <mergeCell ref="B50:G50"/>
    <mergeCell ref="B55:G55"/>
    <mergeCell ref="E56:G57"/>
    <mergeCell ref="B58:G58"/>
    <mergeCell ref="F59:G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Cardoza</dc:creator>
  <cp:keywords/>
  <dc:description/>
  <cp:lastModifiedBy>Anthony Cardoza</cp:lastModifiedBy>
  <cp:revision/>
  <dcterms:created xsi:type="dcterms:W3CDTF">2026-09-01T13:10:49Z</dcterms:created>
  <dcterms:modified xsi:type="dcterms:W3CDTF">2026-09-25T04:45:28Z</dcterms:modified>
  <cp:category/>
  <cp:contentStatus/>
</cp:coreProperties>
</file>